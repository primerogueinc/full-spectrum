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leet summary" sheetId="2" state="visible" r:id="rId4"/>
    <sheet name="Certificates" sheetId="3" state="visible" r:id="rId5"/>
    <sheet name="DNS" sheetId="4" state="visible" r:id="rId6"/>
    <sheet name="Archive" sheetId="5" state="visible" r:id="rId7"/>
    <sheet name="Centurion" sheetId="6" state="visible" r:id="rId8"/>
  </sheets>
  <definedNames>
    <definedName function="false" hidden="true" localSheetId="4" name="_xlnm._FilterDatabase" vbProcedure="false">Archive!$A$1:$D$8</definedName>
    <definedName function="false" hidden="true" localSheetId="5" name="_xlnm._FilterDatabase" vbProcedure="false">Centurion!$A$1:$D$6</definedName>
    <definedName function="false" hidden="true" localSheetId="2" name="_xlnm._FilterDatabase" vbProcedure="false">Certificates!$A$1:$H$146</definedName>
    <definedName function="false" hidden="true" localSheetId="3" name="_xlnm._FilterDatabase" vbProcedure="false">DNS!$A$1:$E$19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<sst xmlns="http://schemas.openxmlformats.org/spreadsheetml/2006/main" count="908" uniqueCount="319">
  <si>
    <t xml:space="preserve">10X Votes / Centurion: Phase 2 evidence sheet</t>
  </si>
  <si>
    <t xml:space="preserve">Prepared 2026-10-22 for Prime Rogue Inc. Passive OSINT only: no target servers contacted, no accounts created, no voter data accessed.</t>
  </si>
  <si>
    <t xml:space="preserve">Tab</t>
  </si>
  <si>
    <t xml:space="preserve">Contents</t>
  </si>
  <si>
    <t xml:space="preserve">Fleet summary</t>
  </si>
  <si>
    <t xml:space="preserve">Per-host certificate counts and first/last issuance, computed by formula from the Certificates tab</t>
  </si>
  <si>
    <t xml:space="preserve">Certificates</t>
  </si>
  <si>
    <t xml:space="preserve">143+2 unique certificates for %.10xvotes.com from crt.sh (precertificate duplicates removed). Each crt.sh ID resolves at https://crt.sh/?id=&lt;ID&gt;</t>
  </si>
  <si>
    <t xml:space="preserve">DNS</t>
  </si>
  <si>
    <t xml:space="preserve">Live resolutions via Google Public DNS (dns.google), 2026-10-22 ~09:30-10:30 UTC. Re-pull with screenshots before filing.</t>
  </si>
  <si>
    <t xml:space="preserve">Archive</t>
  </si>
  <si>
    <t xml:space="preserve">Wayback Machine captures relied on in the report</t>
  </si>
  <si>
    <t xml:space="preserve">Centurion</t>
  </si>
  <si>
    <t xml:space="preserve">Centurion-side domains and hosting</t>
  </si>
  <si>
    <t xml:space="preserve">Caveats</t>
  </si>
  <si>
    <t xml:space="preserve">crt.sh returned slightly different deduplicated sets on repeat queries; two auth certs of 2026-09-21 were added from an earlier pull (expiry not captured). Issuer CN "GeoTrust TLS RSA CA (2026)" is abbreviated; confirm the exact CN on crt.sh.</t>
  </si>
  <si>
    <t xml:space="preserve">Host</t>
  </si>
  <si>
    <t xml:space="preserve">Hosting (DNS 2026-10-22)</t>
  </si>
  <si>
    <t xml:space="preserve">First issued</t>
  </si>
  <si>
    <t xml:space="preserve">Last issued</t>
  </si>
  <si>
    <t xml:space="preserve">Note</t>
  </si>
  <si>
    <t xml:space="preserve">skcn.10xvotes.com</t>
  </si>
  <si>
    <t xml:space="preserve">Azure East US (10xvotes-skcn.azurewebsites.net)</t>
  </si>
  <si>
    <t xml:space="preserve">Alberta records per National Observer; same Azure subscription (asuid) as wi/pa/hn; last cert expired 2026-08-23, not renewed</t>
  </si>
  <si>
    <t xml:space="preserve">mi.10xvotes.com</t>
  </si>
  <si>
    <t xml:space="preserve">Azure East US (10xvotes.azurewebsites.net)</t>
  </si>
  <si>
    <t xml:space="preserve">wi.10xvotes.com</t>
  </si>
  <si>
    <t xml:space="preserve">Azure East US</t>
  </si>
  <si>
    <t xml:space="preserve">pa.10xvotes.com</t>
  </si>
  <si>
    <t xml:space="preserve">hn.10xvotes.com</t>
  </si>
  <si>
    <t xml:space="preserve">auth.10xvotes.com</t>
  </si>
  <si>
    <t xml:space="preserve">Auth0 US tenant via Cloudflare</t>
  </si>
  <si>
    <t xml:space="preserve">Still renewing Sept 2026</t>
  </si>
  <si>
    <t xml:space="preserve">pay.10xvotes.com</t>
  </si>
  <si>
    <t xml:space="preserve">Cloudflare-proxied</t>
  </si>
  <si>
    <t xml:space="preserve">*.10xvotes.com</t>
  </si>
  <si>
    <t xml:space="preserve">Cloudflare edge</t>
  </si>
  <si>
    <t xml:space="preserve">www.10xvotes.com</t>
  </si>
  <si>
    <t xml:space="preserve">Webflow</t>
  </si>
  <si>
    <t xml:space="preserve">crt.sh ID</t>
  </si>
  <si>
    <t xml:space="preserve">Names (SAN)</t>
  </si>
  <si>
    <t xml:space="preserve">Issuer org</t>
  </si>
  <si>
    <t xml:space="preserve">Issuer CN</t>
  </si>
  <si>
    <t xml:space="preserve">Not before (UTC)</t>
  </si>
  <si>
    <t xml:space="preserve">Not after</t>
  </si>
  <si>
    <t xml:space="preserve">Reads as</t>
  </si>
  <si>
    <t xml:space="preserve">Link</t>
  </si>
  <si>
    <t xml:space="preserve">10xvotes.com</t>
  </si>
  <si>
    <t xml:space="preserve">Let's Encrypt</t>
  </si>
  <si>
    <t xml:space="preserve">R3</t>
  </si>
  <si>
    <t xml:space="preserve">Webflow marketing site</t>
  </si>
  <si>
    <t xml:space="preserve">https://crt.sh/?id=12243411481</t>
  </si>
  <si>
    <t xml:space="preserve">https://crt.sh/?id=12243413146</t>
  </si>
  <si>
    <t xml:space="preserve">pay.10xvotes.com, www.pay.10xvotes.com</t>
  </si>
  <si>
    <t xml:space="preserve">GoDaddy</t>
  </si>
  <si>
    <t xml:space="preserve">Go Daddy Secure Certificate Authority - G2</t>
  </si>
  <si>
    <t xml:space="preserve">Payment page (GoDaddy-issued)</t>
  </si>
  <si>
    <t xml:space="preserve">https://crt.sh/?id=12243193306</t>
  </si>
  <si>
    <t xml:space="preserve">https://crt.sh/?id=13113017590</t>
  </si>
  <si>
    <t xml:space="preserve">https://crt.sh/?id=13096802237</t>
  </si>
  <si>
    <t xml:space="preserve">DigiCert</t>
  </si>
  <si>
    <t xml:space="preserve">GeoTrust Global TLS RSA4096 SHA256 2022 CA1</t>
  </si>
  <si>
    <t xml:space="preserve">Azure App Service managed cert (jurisdiction app)</t>
  </si>
  <si>
    <t xml:space="preserve">https://crt.sh/?id=13166395621</t>
  </si>
  <si>
    <t xml:space="preserve">R11</t>
  </si>
  <si>
    <t xml:space="preserve">https://crt.sh/?id=13350020263</t>
  </si>
  <si>
    <t xml:space="preserve">E5</t>
  </si>
  <si>
    <t xml:space="preserve">https://crt.sh/?id=13350024295</t>
  </si>
  <si>
    <t xml:space="preserve">https://crt.sh/?id=13375818881</t>
  </si>
  <si>
    <t xml:space="preserve">https://crt.sh/?id=13375817692</t>
  </si>
  <si>
    <t xml:space="preserve">https://crt.sh/?id=14003189313</t>
  </si>
  <si>
    <t xml:space="preserve">R10</t>
  </si>
  <si>
    <t xml:space="preserve">https://crt.sh/?id=14002606642</t>
  </si>
  <si>
    <t xml:space="preserve">*.10xvotes.com, 10xvotes.com</t>
  </si>
  <si>
    <t xml:space="preserve">E6</t>
  </si>
  <si>
    <t xml:space="preserve">Cloudflare Universal SSL (edge)</t>
  </si>
  <si>
    <t xml:space="preserve">https://crt.sh/?id=14455802108</t>
  </si>
  <si>
    <t xml:space="preserve">Google Trust Services</t>
  </si>
  <si>
    <t xml:space="preserve">WE1</t>
  </si>
  <si>
    <t xml:space="preserve">https://crt.sh/?id=14455833706</t>
  </si>
  <si>
    <t xml:space="preserve">https://crt.sh/?id=14758844764</t>
  </si>
  <si>
    <t xml:space="preserve">https://crt.sh/?id=14798840683</t>
  </si>
  <si>
    <t xml:space="preserve">https://crt.sh/?id=14974554751</t>
  </si>
  <si>
    <t xml:space="preserve">WR1</t>
  </si>
  <si>
    <t xml:space="preserve">https://crt.sh/?id=15138119153</t>
  </si>
  <si>
    <t xml:space="preserve">https://crt.sh/?id=15130287798</t>
  </si>
  <si>
    <t xml:space="preserve">https://crt.sh/?id=15164293758</t>
  </si>
  <si>
    <t xml:space="preserve">https://crt.sh/?id=15157201068</t>
  </si>
  <si>
    <t xml:space="preserve">https://crt.sh/?id=15185532545</t>
  </si>
  <si>
    <t xml:space="preserve">https://crt.sh/?id=15191662180</t>
  </si>
  <si>
    <t xml:space="preserve">https://crt.sh/?id=15221021556</t>
  </si>
  <si>
    <t xml:space="preserve">https://crt.sh/?id=15215071144</t>
  </si>
  <si>
    <t xml:space="preserve">https://crt.sh/?id=15824555309</t>
  </si>
  <si>
    <t xml:space="preserve">https://crt.sh/?id=16331046994</t>
  </si>
  <si>
    <t xml:space="preserve">https://crt.sh/?id=16478040918</t>
  </si>
  <si>
    <t xml:space="preserve">https://crt.sh/?id=16326339776</t>
  </si>
  <si>
    <t xml:space="preserve">https://crt.sh/?id=16326917737</t>
  </si>
  <si>
    <t xml:space="preserve">https://crt.sh/?id=16471384307</t>
  </si>
  <si>
    <t xml:space="preserve">https://crt.sh/?id=17433938397</t>
  </si>
  <si>
    <t xml:space="preserve">https://crt.sh/?id=17004309325</t>
  </si>
  <si>
    <t xml:space="preserve">https://crt.sh/?id=16958571563</t>
  </si>
  <si>
    <t xml:space="preserve">Auth0 custom domain</t>
  </si>
  <si>
    <t xml:space="preserve">https://crt.sh/?id=17628878197</t>
  </si>
  <si>
    <t xml:space="preserve">https://crt.sh/?id=17673139983</t>
  </si>
  <si>
    <t xml:space="preserve">https://crt.sh/?id=17721231174</t>
  </si>
  <si>
    <t xml:space="preserve">https://crt.sh/?id=17698473839</t>
  </si>
  <si>
    <t xml:space="preserve">https://crt.sh/?id=17699853394</t>
  </si>
  <si>
    <t xml:space="preserve">https://crt.sh/?id=17698501717</t>
  </si>
  <si>
    <t xml:space="preserve">https://crt.sh/?id=17698499552</t>
  </si>
  <si>
    <t xml:space="preserve">https://crt.sh/?id=17698499651</t>
  </si>
  <si>
    <t xml:space="preserve">https://crt.sh/?id=18155059954</t>
  </si>
  <si>
    <t xml:space="preserve">https://crt.sh/?id=18161189654</t>
  </si>
  <si>
    <t xml:space="preserve">https://crt.sh/?id=18783093353</t>
  </si>
  <si>
    <t xml:space="preserve">https://crt.sh/?id=18783094695</t>
  </si>
  <si>
    <t xml:space="preserve">https://crt.sh/?id=18831648119</t>
  </si>
  <si>
    <t xml:space="preserve">https://crt.sh/?id=18831314716</t>
  </si>
  <si>
    <t xml:space="preserve">https://crt.sh/?id=18836036308</t>
  </si>
  <si>
    <t xml:space="preserve">https://crt.sh/?id=18835284608</t>
  </si>
  <si>
    <t xml:space="preserve">https://crt.sh/?id=19229804433</t>
  </si>
  <si>
    <t xml:space="preserve">https://crt.sh/?id=19229837803</t>
  </si>
  <si>
    <t xml:space="preserve">https://crt.sh/?id=19269053023</t>
  </si>
  <si>
    <t xml:space="preserve">https://crt.sh/?id=19269005008</t>
  </si>
  <si>
    <t xml:space="preserve">https://crt.sh/?id=19268277357</t>
  </si>
  <si>
    <t xml:space="preserve">https://crt.sh/?id=19268260352</t>
  </si>
  <si>
    <t xml:space="preserve">https://crt.sh/?id=19320893951</t>
  </si>
  <si>
    <t xml:space="preserve">https://crt.sh/?id=19401616784</t>
  </si>
  <si>
    <t xml:space="preserve">https://crt.sh/?id=23070769760</t>
  </si>
  <si>
    <t xml:space="preserve">https://crt.sh/?id=20055192964</t>
  </si>
  <si>
    <t xml:space="preserve">https://crt.sh/?id=20055189741</t>
  </si>
  <si>
    <t xml:space="preserve">https://crt.sh/?id=20095283088</t>
  </si>
  <si>
    <t xml:space="preserve">https://crt.sh/?id=20095287521</t>
  </si>
  <si>
    <t xml:space="preserve">https://crt.sh/?id=20100284453</t>
  </si>
  <si>
    <t xml:space="preserve">https://crt.sh/?id=20100290179</t>
  </si>
  <si>
    <t xml:space="preserve">https://crt.sh/?id=23716203692</t>
  </si>
  <si>
    <t xml:space="preserve">https://crt.sh/?id=23716396402</t>
  </si>
  <si>
    <t xml:space="preserve">https://crt.sh/?id=20560521794</t>
  </si>
  <si>
    <t xml:space="preserve">https://crt.sh/?id=20559854567</t>
  </si>
  <si>
    <t xml:space="preserve">https://crt.sh/?id=20598650484</t>
  </si>
  <si>
    <t xml:space="preserve">E8</t>
  </si>
  <si>
    <t xml:space="preserve">https://crt.sh/?id=20705608066</t>
  </si>
  <si>
    <t xml:space="preserve">R12</t>
  </si>
  <si>
    <t xml:space="preserve">https://crt.sh/?id=20928048156</t>
  </si>
  <si>
    <t xml:space="preserve">R13</t>
  </si>
  <si>
    <t xml:space="preserve">https://crt.sh/?id=20928051746</t>
  </si>
  <si>
    <t xml:space="preserve">https://crt.sh/?id=21549834459</t>
  </si>
  <si>
    <t xml:space="preserve">https://crt.sh/?id=21381314125</t>
  </si>
  <si>
    <t xml:space="preserve">https://crt.sh/?id=21462731568</t>
  </si>
  <si>
    <t xml:space="preserve">https://crt.sh/?id=21491717149</t>
  </si>
  <si>
    <t xml:space="preserve">https://crt.sh/?id=21472229321</t>
  </si>
  <si>
    <t xml:space="preserve">https://crt.sh/?id=21496369860</t>
  </si>
  <si>
    <t xml:space="preserve">https://crt.sh/?id=21985481315</t>
  </si>
  <si>
    <t xml:space="preserve">https://crt.sh/?id=22156789244</t>
  </si>
  <si>
    <t xml:space="preserve">https://crt.sh/?id=22770539345</t>
  </si>
  <si>
    <t xml:space="preserve">https://crt.sh/?id=22770540891</t>
  </si>
  <si>
    <t xml:space="preserve">E7</t>
  </si>
  <si>
    <t xml:space="preserve">https://crt.sh/?id=22776031828</t>
  </si>
  <si>
    <t xml:space="preserve">https://crt.sh/?id=22833134060</t>
  </si>
  <si>
    <t xml:space="preserve">https://crt.sh/?id=22854387512</t>
  </si>
  <si>
    <t xml:space="preserve">https://crt.sh/?id=22808030550</t>
  </si>
  <si>
    <t xml:space="preserve">https://crt.sh/?id=22818395019</t>
  </si>
  <si>
    <t xml:space="preserve">https://crt.sh/?id=22821451064</t>
  </si>
  <si>
    <t xml:space="preserve">https://crt.sh/?id=24590093501</t>
  </si>
  <si>
    <t xml:space="preserve">https://crt.sh/?id=23308723786</t>
  </si>
  <si>
    <t xml:space="preserve">https://crt.sh/?id=23477939120</t>
  </si>
  <si>
    <t xml:space="preserve">https://crt.sh/?id=23758629509</t>
  </si>
  <si>
    <t xml:space="preserve">https://crt.sh/?id=23759430954</t>
  </si>
  <si>
    <t xml:space="preserve">https://crt.sh/?id=23758677784</t>
  </si>
  <si>
    <t xml:space="preserve">https://crt.sh/?id=23716197223</t>
  </si>
  <si>
    <t xml:space="preserve">https://crt.sh/?id=23990538948</t>
  </si>
  <si>
    <t xml:space="preserve">https://crt.sh/?id=23990542524</t>
  </si>
  <si>
    <t xml:space="preserve">https://crt.sh/?id=24017301990</t>
  </si>
  <si>
    <t xml:space="preserve">https://crt.sh/?id=24017303354</t>
  </si>
  <si>
    <t xml:space="preserve">https://crt.sh/?id=24033029269</t>
  </si>
  <si>
    <t xml:space="preserve">https://crt.sh/?id=24055763991</t>
  </si>
  <si>
    <t xml:space="preserve">https://crt.sh/?id=24095209052</t>
  </si>
  <si>
    <t xml:space="preserve">https://crt.sh/?id=24390826391</t>
  </si>
  <si>
    <t xml:space="preserve">https://crt.sh/?id=24527966989</t>
  </si>
  <si>
    <t xml:space="preserve">GeoTrust TLS RSA CA (2026)</t>
  </si>
  <si>
    <t xml:space="preserve">https://crt.sh/?id=24605704616</t>
  </si>
  <si>
    <t xml:space="preserve">https://crt.sh/?id=24605688934</t>
  </si>
  <si>
    <t xml:space="preserve">https://crt.sh/?id=24605706433</t>
  </si>
  <si>
    <t xml:space="preserve">https://crt.sh/?id=24591020305</t>
  </si>
  <si>
    <t xml:space="preserve">https://crt.sh/?id=24604744296</t>
  </si>
  <si>
    <t xml:space="preserve">https://crt.sh/?id=24718042384</t>
  </si>
  <si>
    <t xml:space="preserve">https://crt.sh/?id=25244732687</t>
  </si>
  <si>
    <t xml:space="preserve">https://crt.sh/?id=25244731131</t>
  </si>
  <si>
    <t xml:space="preserve">https://crt.sh/?id=25258746074</t>
  </si>
  <si>
    <t xml:space="preserve">https://crt.sh/?id=25258752378</t>
  </si>
  <si>
    <t xml:space="preserve">https://crt.sh/?id=25288330050</t>
  </si>
  <si>
    <t xml:space="preserve">https://crt.sh/?id=25274331984</t>
  </si>
  <si>
    <t xml:space="preserve">https://crt.sh/?id=26157114011</t>
  </si>
  <si>
    <t xml:space="preserve">https://crt.sh/?id=26199792443</t>
  </si>
  <si>
    <t xml:space="preserve">https://crt.sh/?id=26636735255</t>
  </si>
  <si>
    <t xml:space="preserve">https://crt.sh/?id=26636733541</t>
  </si>
  <si>
    <t xml:space="preserve">https://crt.sh/?id=26640932061</t>
  </si>
  <si>
    <t xml:space="preserve">https://crt.sh/?id=26640930071</t>
  </si>
  <si>
    <t xml:space="preserve">https://crt.sh/?id=26661031657</t>
  </si>
  <si>
    <t xml:space="preserve">https://crt.sh/?id=26661038391</t>
  </si>
  <si>
    <t xml:space="preserve">https://crt.sh/?id=26664546014</t>
  </si>
  <si>
    <t xml:space="preserve">https://crt.sh/?id=26664567161</t>
  </si>
  <si>
    <t xml:space="preserve">https://crt.sh/?id=27293870438</t>
  </si>
  <si>
    <t xml:space="preserve">https://crt.sh/?id=28193141025</t>
  </si>
  <si>
    <t xml:space="preserve">https://crt.sh/?id=28197756289</t>
  </si>
  <si>
    <t xml:space="preserve">https://crt.sh/?id=28197856865</t>
  </si>
  <si>
    <t xml:space="preserve">https://crt.sh/?id=28193343203</t>
  </si>
  <si>
    <t xml:space="preserve">YE2</t>
  </si>
  <si>
    <t xml:space="preserve">https://crt.sh/?id=28214086378</t>
  </si>
  <si>
    <t xml:space="preserve">YR2</t>
  </si>
  <si>
    <t xml:space="preserve">https://crt.sh/?id=28214083296</t>
  </si>
  <si>
    <t xml:space="preserve">https://crt.sh/?id=28226429452</t>
  </si>
  <si>
    <t xml:space="preserve">https://crt.sh/?id=28226463742</t>
  </si>
  <si>
    <t xml:space="preserve">https://crt.sh/?id=28230471242</t>
  </si>
  <si>
    <t xml:space="preserve">https://crt.sh/?id=28230472053</t>
  </si>
  <si>
    <t xml:space="preserve">YE1</t>
  </si>
  <si>
    <t xml:space="preserve">https://crt.sh/?id=28231107664</t>
  </si>
  <si>
    <t xml:space="preserve">https://crt.sh/?id=28889799209</t>
  </si>
  <si>
    <t xml:space="preserve">https://crt.sh/?id=29778573039</t>
  </si>
  <si>
    <t xml:space="preserve">https://crt.sh/?id=29502212415</t>
  </si>
  <si>
    <t xml:space="preserve">https://crt.sh/?id=29928320505</t>
  </si>
  <si>
    <t xml:space="preserve">YR1</t>
  </si>
  <si>
    <t xml:space="preserve">https://crt.sh/?id=29927916024</t>
  </si>
  <si>
    <t xml:space="preserve">https://crt.sh/?id=29841667374</t>
  </si>
  <si>
    <t xml:space="preserve">Name</t>
  </si>
  <si>
    <t xml:space="preserve">Type</t>
  </si>
  <si>
    <t xml:space="preserve">Answer</t>
  </si>
  <si>
    <t xml:space="preserve">IP</t>
  </si>
  <si>
    <t xml:space="preserve">Provider / meaning</t>
  </si>
  <si>
    <t xml:space="preserve">CNAME chain</t>
  </si>
  <si>
    <t xml:space="preserve">10xvotes-skcn.azurewebsites.net &gt; waws-prod-blu-319.sip.azurewebsites.windows.net &gt; waws-prod-blu-319-7e61.eastus.cloudapp.azure.com</t>
  </si>
  <si>
    <t xml:space="preserve">20.119.0.3</t>
  </si>
  <si>
    <t xml:space="preserve">Microsoft Azure App Service, East US</t>
  </si>
  <si>
    <t xml:space="preserve">10xvotes.azurewebsites.net &gt; waws-prod-blu-319 (eastus)</t>
  </si>
  <si>
    <t xml:space="preserve">10xvotes-wi.azurewebsites.net &gt; waws-prod-blu-319 (eastus)</t>
  </si>
  <si>
    <t xml:space="preserve">10xvotes-pa.azurewebsites.net &gt; waws-prod-blu-319 (eastus)</t>
  </si>
  <si>
    <t xml:space="preserve">10xvotes-hn.azurewebsites.net &gt; waws-prod-blu-319 (eastus)</t>
  </si>
  <si>
    <t xml:space="preserve">asuid.skcn / .wi / .pa / .hn</t>
  </si>
  <si>
    <t xml:space="preserve">TXT</t>
  </si>
  <si>
    <t xml:space="preserve">CCE16DBFD953C667013F67299E71409AE9E7EA7994CD964270E2A5E60AD5DFD3 (identical on all four)</t>
  </si>
  <si>
    <t xml:space="preserve">Azure custom-domain verification ID (per subscription)</t>
  </si>
  <si>
    <t xml:space="preserve">asuid.mi.10xvotes.com</t>
  </si>
  <si>
    <t xml:space="preserve">NXDOMAIN</t>
  </si>
  <si>
    <t xml:space="preserve">dev-pozsa82q46m6bv13-cd-mxvbschswsydpfhi.edge.tenants.us.auth0.com &gt; dev-pozsa82q46m6bv13.us.auth0.com &gt; auth0-ingress.us.auth0.com.cdn.cloudflare.net</t>
  </si>
  <si>
    <t xml:space="preserve">172.64.144.74, 104.18.43.182</t>
  </si>
  <si>
    <t xml:space="preserve">Auth0 (Okta) US tenant</t>
  </si>
  <si>
    <t xml:space="preserve">A/AAAA</t>
  </si>
  <si>
    <t xml:space="preserve">198.202.211.1; 2620:cb:2000::1</t>
  </si>
  <si>
    <t xml:space="preserve">CNAME</t>
  </si>
  <si>
    <t xml:space="preserve">cdn.webflow.com</t>
  </si>
  <si>
    <t xml:space="preserve">198.202.211.1</t>
  </si>
  <si>
    <t xml:space="preserve">A</t>
  </si>
  <si>
    <t xml:space="preserve">172.67.174.102, 104.21.72.31</t>
  </si>
  <si>
    <t xml:space="preserve">Cloudflare proxy</t>
  </si>
  <si>
    <t xml:space="preserve">NS</t>
  </si>
  <si>
    <t xml:space="preserve">lisa.ns.cloudflare.com, andy.ns.cloudflare.com</t>
  </si>
  <si>
    <t xml:space="preserve">Cloudflare DNS</t>
  </si>
  <si>
    <t xml:space="preserve">MX</t>
  </si>
  <si>
    <t xml:space="preserve">aspmx.l.google.com (+alt1-4)</t>
  </si>
  <si>
    <t xml:space="preserve">Google Workspace</t>
  </si>
  <si>
    <t xml:space="preserve">google-site-verification x2; brevo-code:4bf20eaa73d0f0c3e84ebf91e6b8f292; v=spf1 include:_spf.google.com ~all</t>
  </si>
  <si>
    <t xml:space="preserve">Google, Brevo</t>
  </si>
  <si>
    <t xml:space="preserve">_dmarc.10xvotes.com</t>
  </si>
  <si>
    <t xml:space="preserve">v=DMARC1; p=none; rua=mailto:dmarc-reports@10xvotes.com</t>
  </si>
  <si>
    <t xml:space="preserve">CAA</t>
  </si>
  <si>
    <t xml:space="preserve">(none)</t>
  </si>
  <si>
    <t xml:space="preserve">ab. / abcn. / ca.10xvotes.com</t>
  </si>
  <si>
    <t xml:space="preserve">No wildcard DNS</t>
  </si>
  <si>
    <t xml:space="preserve">10xvotes-{ab,abcn,ca,sk,mt,az,ga,oh,nc,dev,api,staging,test}.azurewebsites.net</t>
  </si>
  <si>
    <t xml:space="preserve">Limited name check, not enumeration</t>
  </si>
  <si>
    <t xml:space="preserve">Capture (UTC)</t>
  </si>
  <si>
    <t xml:space="preserve">URL</t>
  </si>
  <si>
    <t xml:space="preserve">Observed</t>
  </si>
  <si>
    <t xml:space="preserve">Wayback link</t>
  </si>
  <si>
    <t xml:space="preserve">2025-03-07 17:22:50</t>
  </si>
  <si>
    <t xml:space="preserve">http://skcn.10xvotes.com/</t>
  </si>
  <si>
    <t xml:space="preserve">301 to login</t>
  </si>
  <si>
    <t xml:space="preserve">https://web.archive.org/web/20250307172250/http://skcn.10xvotes.com/</t>
  </si>
  <si>
    <t xml:space="preserve">2025-03-07 17:22:51</t>
  </si>
  <si>
    <t xml:space="preserve">https://skcn.10xvotes.com/Identity/Account/Login</t>
  </si>
  <si>
    <t xml:space="preserve">200; "Login - 10X Votes"; loads MiFamilyVotingWebsite.styles.css; form posts to self; LiveChat + DataTables</t>
  </si>
  <si>
    <t xml:space="preserve">https://web.archive.org/web/20250307172251/https://skcn.10xvotes.com/Identity/Account/Login?ReturnUrl=%2F</t>
  </si>
  <si>
    <t xml:space="preserve">2024-10-09 to 2024-12-17</t>
  </si>
  <si>
    <t xml:space="preserve">https://pa.10xvotes.com/ (css, js)</t>
  </si>
  <si>
    <t xml:space="preserve">Same MiFamilyVotingWebsite.styles.css and site.css hash as mi; search.js calls /voterinfo/setupData; filters name/address/age/county/township</t>
  </si>
  <si>
    <t xml:space="preserve">https://web.archive.org/web/20241215042917/https://pa.10xvotes.com/js/search.js</t>
  </si>
  <si>
    <t xml:space="preserve">2024-08-29</t>
  </si>
  <si>
    <t xml:space="preserve">https://mi.10xvotes.com/</t>
  </si>
  <si>
    <t xml:space="preserve">302 (to Identity login)</t>
  </si>
  <si>
    <t xml:space="preserve">https://web.archive.org/web/20240829163142/https://mi.10xvotes.com/</t>
  </si>
  <si>
    <t xml:space="preserve">2025-04-04 22:35</t>
  </si>
  <si>
    <t xml:space="preserve">http://auth.10xvotes.com/</t>
  </si>
  <si>
    <t xml:space="preserve">426</t>
  </si>
  <si>
    <t xml:space="preserve">https://web.archive.org/web/20250404223513/http://auth.10xvotes.com/</t>
  </si>
  <si>
    <t xml:space="preserve">2026-01-14 05:20</t>
  </si>
  <si>
    <t xml:space="preserve">https://www.10xvotes.com/app-sign-up</t>
  </si>
  <si>
    <t xml:space="preserve">"a product of Voteatron"; SMS consent</t>
  </si>
  <si>
    <t xml:space="preserve">https://web.archive.org/web/20260114052020/https://www.10xvotes.com/app-sign-up</t>
  </si>
  <si>
    <t xml:space="preserve">2026-01-14 04:11</t>
  </si>
  <si>
    <t xml:space="preserve">https://www.10xvotes.com/privacy</t>
  </si>
  <si>
    <t xml:space="preserve">SMS restricted to US residents; no Canada or cross-border language</t>
  </si>
  <si>
    <t xml:space="preserve">https://web.archive.org/web/20260114041114/https://www.10xvotes.com/privacy</t>
  </si>
  <si>
    <t xml:space="preserve">Domain / item</t>
  </si>
  <si>
    <t xml:space="preserve">First cert</t>
  </si>
  <si>
    <t xml:space="preserve">Hosting</t>
  </si>
  <si>
    <t xml:space="preserve">thecenturionproject.ca</t>
  </si>
  <si>
    <t xml:space="preserve">2026-02-26 (crt.sh 24664097172); en. subdomain</t>
  </si>
  <si>
    <t xml:space="preserve">Wix (ns0/ns1.wixdns.net)</t>
  </si>
  <si>
    <t xml:space="preserve">Confirmed Centurion site; Bowness Rd NW Calgary address in footer</t>
  </si>
  <si>
    <t xml:space="preserve">centurionproject.ca</t>
  </si>
  <si>
    <t xml:space="preserve">2026-03-18 (crt.sh 25068020634)</t>
  </si>
  <si>
    <t xml:space="preserve">Wix</t>
  </si>
  <si>
    <t xml:space="preserve">Likely companion/defensive; not examined</t>
  </si>
  <si>
    <t xml:space="preserve">thecenturionproject.com</t>
  </si>
  <si>
    <t xml:space="preserve">2016-12-01</t>
  </si>
  <si>
    <t xml:space="preserve">cPanel / Google Domains NS</t>
  </si>
  <si>
    <t xml:space="preserve">Predates Centurion; treat as unrelated</t>
  </si>
  <si>
    <t xml:space="preserve">Wix apps on site</t>
  </si>
  <si>
    <t xml:space="preserve">Members Area, Events &amp; Tickets, Groups, Forms, Donations, Phone/SMS Campaigns, ShoutOut, Facebook Server-Side Events</t>
  </si>
  <si>
    <t xml:space="preserve">Production Centurion voter app</t>
  </si>
  <si>
    <t xml:space="preserve">NOT LOCATED in public records - get from court filings / YouTube video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</si>
</sst>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rt.sh/?id=12243411481" TargetMode="External"/><Relationship Id="rId2" Type="http://schemas.openxmlformats.org/officeDocument/2006/relationships/hyperlink" Target="https://crt.sh/?id=12243413146" TargetMode="External"/><Relationship Id="rId3" Type="http://schemas.openxmlformats.org/officeDocument/2006/relationships/hyperlink" Target="https://crt.sh/?id=12243193306" TargetMode="External"/><Relationship Id="rId4" Type="http://schemas.openxmlformats.org/officeDocument/2006/relationships/hyperlink" Target="https://crt.sh/?id=13113017590" TargetMode="External"/><Relationship Id="rId5" Type="http://schemas.openxmlformats.org/officeDocument/2006/relationships/hyperlink" Target="https://crt.sh/?id=13096802237" TargetMode="External"/><Relationship Id="rId6" Type="http://schemas.openxmlformats.org/officeDocument/2006/relationships/hyperlink" Target="https://crt.sh/?id=13166395621" TargetMode="External"/><Relationship Id="rId7" Type="http://schemas.openxmlformats.org/officeDocument/2006/relationships/hyperlink" Target="https://crt.sh/?id=13350020263" TargetMode="External"/><Relationship Id="rId8" Type="http://schemas.openxmlformats.org/officeDocument/2006/relationships/hyperlink" Target="https://crt.sh/?id=13350024295" TargetMode="External"/><Relationship Id="rId9" Type="http://schemas.openxmlformats.org/officeDocument/2006/relationships/hyperlink" Target="https://crt.sh/?id=13375818881" TargetMode="External"/><Relationship Id="rId10" Type="http://schemas.openxmlformats.org/officeDocument/2006/relationships/hyperlink" Target="https://crt.sh/?id=13375817692" TargetMode="External"/><Relationship Id="rId11" Type="http://schemas.openxmlformats.org/officeDocument/2006/relationships/hyperlink" Target="https://crt.sh/?id=14003189313" TargetMode="External"/><Relationship Id="rId12" Type="http://schemas.openxmlformats.org/officeDocument/2006/relationships/hyperlink" Target="https://crt.sh/?id=14002606642" TargetMode="External"/><Relationship Id="rId13" Type="http://schemas.openxmlformats.org/officeDocument/2006/relationships/hyperlink" Target="https://crt.sh/?id=14455802108" TargetMode="External"/><Relationship Id="rId14" Type="http://schemas.openxmlformats.org/officeDocument/2006/relationships/hyperlink" Target="https://crt.sh/?id=14455833706" TargetMode="External"/><Relationship Id="rId15" Type="http://schemas.openxmlformats.org/officeDocument/2006/relationships/hyperlink" Target="https://crt.sh/?id=14758844764" TargetMode="External"/><Relationship Id="rId16" Type="http://schemas.openxmlformats.org/officeDocument/2006/relationships/hyperlink" Target="https://crt.sh/?id=14798840683" TargetMode="External"/><Relationship Id="rId17" Type="http://schemas.openxmlformats.org/officeDocument/2006/relationships/hyperlink" Target="https://crt.sh/?id=14974554751" TargetMode="External"/><Relationship Id="rId18" Type="http://schemas.openxmlformats.org/officeDocument/2006/relationships/hyperlink" Target="https://crt.sh/?id=15138119153" TargetMode="External"/><Relationship Id="rId19" Type="http://schemas.openxmlformats.org/officeDocument/2006/relationships/hyperlink" Target="https://crt.sh/?id=15130287798" TargetMode="External"/><Relationship Id="rId20" Type="http://schemas.openxmlformats.org/officeDocument/2006/relationships/hyperlink" Target="https://crt.sh/?id=15164293758" TargetMode="External"/><Relationship Id="rId21" Type="http://schemas.openxmlformats.org/officeDocument/2006/relationships/hyperlink" Target="https://crt.sh/?id=15157201068" TargetMode="External"/><Relationship Id="rId22" Type="http://schemas.openxmlformats.org/officeDocument/2006/relationships/hyperlink" Target="https://crt.sh/?id=15185532545" TargetMode="External"/><Relationship Id="rId23" Type="http://schemas.openxmlformats.org/officeDocument/2006/relationships/hyperlink" Target="https://crt.sh/?id=15191662180" TargetMode="External"/><Relationship Id="rId24" Type="http://schemas.openxmlformats.org/officeDocument/2006/relationships/hyperlink" Target="https://crt.sh/?id=15221021556" TargetMode="External"/><Relationship Id="rId25" Type="http://schemas.openxmlformats.org/officeDocument/2006/relationships/hyperlink" Target="https://crt.sh/?id=15215071144" TargetMode="External"/><Relationship Id="rId26" Type="http://schemas.openxmlformats.org/officeDocument/2006/relationships/hyperlink" Target="https://crt.sh/?id=15824555309" TargetMode="External"/><Relationship Id="rId27" Type="http://schemas.openxmlformats.org/officeDocument/2006/relationships/hyperlink" Target="https://crt.sh/?id=16331046994" TargetMode="External"/><Relationship Id="rId28" Type="http://schemas.openxmlformats.org/officeDocument/2006/relationships/hyperlink" Target="https://crt.sh/?id=16478040918" TargetMode="External"/><Relationship Id="rId29" Type="http://schemas.openxmlformats.org/officeDocument/2006/relationships/hyperlink" Target="https://crt.sh/?id=16326339776" TargetMode="External"/><Relationship Id="rId30" Type="http://schemas.openxmlformats.org/officeDocument/2006/relationships/hyperlink" Target="https://crt.sh/?id=16326917737" TargetMode="External"/><Relationship Id="rId31" Type="http://schemas.openxmlformats.org/officeDocument/2006/relationships/hyperlink" Target="https://crt.sh/?id=16471384307" TargetMode="External"/><Relationship Id="rId32" Type="http://schemas.openxmlformats.org/officeDocument/2006/relationships/hyperlink" Target="https://crt.sh/?id=17433938397" TargetMode="External"/><Relationship Id="rId33" Type="http://schemas.openxmlformats.org/officeDocument/2006/relationships/hyperlink" Target="https://crt.sh/?id=17004309325" TargetMode="External"/><Relationship Id="rId34" Type="http://schemas.openxmlformats.org/officeDocument/2006/relationships/hyperlink" Target="https://crt.sh/?id=16958571563" TargetMode="External"/><Relationship Id="rId35" Type="http://schemas.openxmlformats.org/officeDocument/2006/relationships/hyperlink" Target="https://crt.sh/?id=17628878197" TargetMode="External"/><Relationship Id="rId36" Type="http://schemas.openxmlformats.org/officeDocument/2006/relationships/hyperlink" Target="https://crt.sh/?id=17673139983" TargetMode="External"/><Relationship Id="rId37" Type="http://schemas.openxmlformats.org/officeDocument/2006/relationships/hyperlink" Target="https://crt.sh/?id=17721231174" TargetMode="External"/><Relationship Id="rId38" Type="http://schemas.openxmlformats.org/officeDocument/2006/relationships/hyperlink" Target="https://crt.sh/?id=17698473839" TargetMode="External"/><Relationship Id="rId39" Type="http://schemas.openxmlformats.org/officeDocument/2006/relationships/hyperlink" Target="https://crt.sh/?id=17699853394" TargetMode="External"/><Relationship Id="rId40" Type="http://schemas.openxmlformats.org/officeDocument/2006/relationships/hyperlink" Target="https://crt.sh/?id=17698501717" TargetMode="External"/><Relationship Id="rId41" Type="http://schemas.openxmlformats.org/officeDocument/2006/relationships/hyperlink" Target="https://crt.sh/?id=17698499552" TargetMode="External"/><Relationship Id="rId42" Type="http://schemas.openxmlformats.org/officeDocument/2006/relationships/hyperlink" Target="https://crt.sh/?id=17698499651" TargetMode="External"/><Relationship Id="rId43" Type="http://schemas.openxmlformats.org/officeDocument/2006/relationships/hyperlink" Target="https://crt.sh/?id=18155059954" TargetMode="External"/><Relationship Id="rId44" Type="http://schemas.openxmlformats.org/officeDocument/2006/relationships/hyperlink" Target="https://crt.sh/?id=18161189654" TargetMode="External"/><Relationship Id="rId45" Type="http://schemas.openxmlformats.org/officeDocument/2006/relationships/hyperlink" Target="https://crt.sh/?id=18783093353" TargetMode="External"/><Relationship Id="rId46" Type="http://schemas.openxmlformats.org/officeDocument/2006/relationships/hyperlink" Target="https://crt.sh/?id=18783094695" TargetMode="External"/><Relationship Id="rId47" Type="http://schemas.openxmlformats.org/officeDocument/2006/relationships/hyperlink" Target="https://crt.sh/?id=18831648119" TargetMode="External"/><Relationship Id="rId48" Type="http://schemas.openxmlformats.org/officeDocument/2006/relationships/hyperlink" Target="https://crt.sh/?id=18831314716" TargetMode="External"/><Relationship Id="rId49" Type="http://schemas.openxmlformats.org/officeDocument/2006/relationships/hyperlink" Target="https://crt.sh/?id=18836036308" TargetMode="External"/><Relationship Id="rId50" Type="http://schemas.openxmlformats.org/officeDocument/2006/relationships/hyperlink" Target="https://crt.sh/?id=18835284608" TargetMode="External"/><Relationship Id="rId51" Type="http://schemas.openxmlformats.org/officeDocument/2006/relationships/hyperlink" Target="https://crt.sh/?id=19229804433" TargetMode="External"/><Relationship Id="rId52" Type="http://schemas.openxmlformats.org/officeDocument/2006/relationships/hyperlink" Target="https://crt.sh/?id=19229837803" TargetMode="External"/><Relationship Id="rId53" Type="http://schemas.openxmlformats.org/officeDocument/2006/relationships/hyperlink" Target="https://crt.sh/?id=19269053023" TargetMode="External"/><Relationship Id="rId54" Type="http://schemas.openxmlformats.org/officeDocument/2006/relationships/hyperlink" Target="https://crt.sh/?id=19269005008" TargetMode="External"/><Relationship Id="rId55" Type="http://schemas.openxmlformats.org/officeDocument/2006/relationships/hyperlink" Target="https://crt.sh/?id=19268277357" TargetMode="External"/><Relationship Id="rId56" Type="http://schemas.openxmlformats.org/officeDocument/2006/relationships/hyperlink" Target="https://crt.sh/?id=19268260352" TargetMode="External"/><Relationship Id="rId57" Type="http://schemas.openxmlformats.org/officeDocument/2006/relationships/hyperlink" Target="https://crt.sh/?id=19320893951" TargetMode="External"/><Relationship Id="rId58" Type="http://schemas.openxmlformats.org/officeDocument/2006/relationships/hyperlink" Target="https://crt.sh/?id=19401616784" TargetMode="External"/><Relationship Id="rId59" Type="http://schemas.openxmlformats.org/officeDocument/2006/relationships/hyperlink" Target="https://crt.sh/?id=23070769760" TargetMode="External"/><Relationship Id="rId60" Type="http://schemas.openxmlformats.org/officeDocument/2006/relationships/hyperlink" Target="https://crt.sh/?id=20055192964" TargetMode="External"/><Relationship Id="rId61" Type="http://schemas.openxmlformats.org/officeDocument/2006/relationships/hyperlink" Target="https://crt.sh/?id=20055189741" TargetMode="External"/><Relationship Id="rId62" Type="http://schemas.openxmlformats.org/officeDocument/2006/relationships/hyperlink" Target="https://crt.sh/?id=20095283088" TargetMode="External"/><Relationship Id="rId63" Type="http://schemas.openxmlformats.org/officeDocument/2006/relationships/hyperlink" Target="https://crt.sh/?id=20095287521" TargetMode="External"/><Relationship Id="rId64" Type="http://schemas.openxmlformats.org/officeDocument/2006/relationships/hyperlink" Target="https://crt.sh/?id=20100284453" TargetMode="External"/><Relationship Id="rId65" Type="http://schemas.openxmlformats.org/officeDocument/2006/relationships/hyperlink" Target="https://crt.sh/?id=20100290179" TargetMode="External"/><Relationship Id="rId66" Type="http://schemas.openxmlformats.org/officeDocument/2006/relationships/hyperlink" Target="https://crt.sh/?id=23716203692" TargetMode="External"/><Relationship Id="rId67" Type="http://schemas.openxmlformats.org/officeDocument/2006/relationships/hyperlink" Target="https://crt.sh/?id=23716396402" TargetMode="External"/><Relationship Id="rId68" Type="http://schemas.openxmlformats.org/officeDocument/2006/relationships/hyperlink" Target="https://crt.sh/?id=20560521794" TargetMode="External"/><Relationship Id="rId69" Type="http://schemas.openxmlformats.org/officeDocument/2006/relationships/hyperlink" Target="https://crt.sh/?id=20559854567" TargetMode="External"/><Relationship Id="rId70" Type="http://schemas.openxmlformats.org/officeDocument/2006/relationships/hyperlink" Target="https://crt.sh/?id=20598650484" TargetMode="External"/><Relationship Id="rId71" Type="http://schemas.openxmlformats.org/officeDocument/2006/relationships/hyperlink" Target="https://crt.sh/?id=20705608066" TargetMode="External"/><Relationship Id="rId72" Type="http://schemas.openxmlformats.org/officeDocument/2006/relationships/hyperlink" Target="https://crt.sh/?id=20928048156" TargetMode="External"/><Relationship Id="rId73" Type="http://schemas.openxmlformats.org/officeDocument/2006/relationships/hyperlink" Target="https://crt.sh/?id=20928051746" TargetMode="External"/><Relationship Id="rId74" Type="http://schemas.openxmlformats.org/officeDocument/2006/relationships/hyperlink" Target="https://crt.sh/?id=21549834459" TargetMode="External"/><Relationship Id="rId75" Type="http://schemas.openxmlformats.org/officeDocument/2006/relationships/hyperlink" Target="https://crt.sh/?id=21381314125" TargetMode="External"/><Relationship Id="rId76" Type="http://schemas.openxmlformats.org/officeDocument/2006/relationships/hyperlink" Target="https://crt.sh/?id=21462731568" TargetMode="External"/><Relationship Id="rId77" Type="http://schemas.openxmlformats.org/officeDocument/2006/relationships/hyperlink" Target="https://crt.sh/?id=21491717149" TargetMode="External"/><Relationship Id="rId78" Type="http://schemas.openxmlformats.org/officeDocument/2006/relationships/hyperlink" Target="https://crt.sh/?id=21472229321" TargetMode="External"/><Relationship Id="rId79" Type="http://schemas.openxmlformats.org/officeDocument/2006/relationships/hyperlink" Target="https://crt.sh/?id=21496369860" TargetMode="External"/><Relationship Id="rId80" Type="http://schemas.openxmlformats.org/officeDocument/2006/relationships/hyperlink" Target="https://crt.sh/?id=21985481315" TargetMode="External"/><Relationship Id="rId81" Type="http://schemas.openxmlformats.org/officeDocument/2006/relationships/hyperlink" Target="https://crt.sh/?id=22156789244" TargetMode="External"/><Relationship Id="rId82" Type="http://schemas.openxmlformats.org/officeDocument/2006/relationships/hyperlink" Target="https://crt.sh/?id=22770539345" TargetMode="External"/><Relationship Id="rId83" Type="http://schemas.openxmlformats.org/officeDocument/2006/relationships/hyperlink" Target="https://crt.sh/?id=22770540891" TargetMode="External"/><Relationship Id="rId84" Type="http://schemas.openxmlformats.org/officeDocument/2006/relationships/hyperlink" Target="https://crt.sh/?id=22776031828" TargetMode="External"/><Relationship Id="rId85" Type="http://schemas.openxmlformats.org/officeDocument/2006/relationships/hyperlink" Target="https://crt.sh/?id=22833134060" TargetMode="External"/><Relationship Id="rId86" Type="http://schemas.openxmlformats.org/officeDocument/2006/relationships/hyperlink" Target="https://crt.sh/?id=22854387512" TargetMode="External"/><Relationship Id="rId87" Type="http://schemas.openxmlformats.org/officeDocument/2006/relationships/hyperlink" Target="https://crt.sh/?id=22808030550" TargetMode="External"/><Relationship Id="rId88" Type="http://schemas.openxmlformats.org/officeDocument/2006/relationships/hyperlink" Target="https://crt.sh/?id=22818395019" TargetMode="External"/><Relationship Id="rId89" Type="http://schemas.openxmlformats.org/officeDocument/2006/relationships/hyperlink" Target="https://crt.sh/?id=22821451064" TargetMode="External"/><Relationship Id="rId90" Type="http://schemas.openxmlformats.org/officeDocument/2006/relationships/hyperlink" Target="https://crt.sh/?id=24590093501" TargetMode="External"/><Relationship Id="rId91" Type="http://schemas.openxmlformats.org/officeDocument/2006/relationships/hyperlink" Target="https://crt.sh/?id=23308723786" TargetMode="External"/><Relationship Id="rId92" Type="http://schemas.openxmlformats.org/officeDocument/2006/relationships/hyperlink" Target="https://crt.sh/?id=23477939120" TargetMode="External"/><Relationship Id="rId93" Type="http://schemas.openxmlformats.org/officeDocument/2006/relationships/hyperlink" Target="https://crt.sh/?id=23758629509" TargetMode="External"/><Relationship Id="rId94" Type="http://schemas.openxmlformats.org/officeDocument/2006/relationships/hyperlink" Target="https://crt.sh/?id=23759430954" TargetMode="External"/><Relationship Id="rId95" Type="http://schemas.openxmlformats.org/officeDocument/2006/relationships/hyperlink" Target="https://crt.sh/?id=23758677784" TargetMode="External"/><Relationship Id="rId96" Type="http://schemas.openxmlformats.org/officeDocument/2006/relationships/hyperlink" Target="https://crt.sh/?id=23716197223" TargetMode="External"/><Relationship Id="rId97" Type="http://schemas.openxmlformats.org/officeDocument/2006/relationships/hyperlink" Target="https://crt.sh/?id=23990538948" TargetMode="External"/><Relationship Id="rId98" Type="http://schemas.openxmlformats.org/officeDocument/2006/relationships/hyperlink" Target="https://crt.sh/?id=23990542524" TargetMode="External"/><Relationship Id="rId99" Type="http://schemas.openxmlformats.org/officeDocument/2006/relationships/hyperlink" Target="https://crt.sh/?id=24017301990" TargetMode="External"/><Relationship Id="rId100" Type="http://schemas.openxmlformats.org/officeDocument/2006/relationships/hyperlink" Target="https://crt.sh/?id=24017303354" TargetMode="External"/><Relationship Id="rId101" Type="http://schemas.openxmlformats.org/officeDocument/2006/relationships/hyperlink" Target="https://crt.sh/?id=24033029269" TargetMode="External"/><Relationship Id="rId102" Type="http://schemas.openxmlformats.org/officeDocument/2006/relationships/hyperlink" Target="https://crt.sh/?id=24055763991" TargetMode="External"/><Relationship Id="rId103" Type="http://schemas.openxmlformats.org/officeDocument/2006/relationships/hyperlink" Target="https://crt.sh/?id=24095209052" TargetMode="External"/><Relationship Id="rId104" Type="http://schemas.openxmlformats.org/officeDocument/2006/relationships/hyperlink" Target="https://crt.sh/?id=24390826391" TargetMode="External"/><Relationship Id="rId105" Type="http://schemas.openxmlformats.org/officeDocument/2006/relationships/hyperlink" Target="https://crt.sh/?id=24527966989" TargetMode="External"/><Relationship Id="rId106" Type="http://schemas.openxmlformats.org/officeDocument/2006/relationships/hyperlink" Target="https://crt.sh/?id=24605704616" TargetMode="External"/><Relationship Id="rId107" Type="http://schemas.openxmlformats.org/officeDocument/2006/relationships/hyperlink" Target="https://crt.sh/?id=24605688934" TargetMode="External"/><Relationship Id="rId108" Type="http://schemas.openxmlformats.org/officeDocument/2006/relationships/hyperlink" Target="https://crt.sh/?id=24605706433" TargetMode="External"/><Relationship Id="rId109" Type="http://schemas.openxmlformats.org/officeDocument/2006/relationships/hyperlink" Target="https://crt.sh/?id=24591020305" TargetMode="External"/><Relationship Id="rId110" Type="http://schemas.openxmlformats.org/officeDocument/2006/relationships/hyperlink" Target="https://crt.sh/?id=24604744296" TargetMode="External"/><Relationship Id="rId111" Type="http://schemas.openxmlformats.org/officeDocument/2006/relationships/hyperlink" Target="https://crt.sh/?id=24718042384" TargetMode="External"/><Relationship Id="rId112" Type="http://schemas.openxmlformats.org/officeDocument/2006/relationships/hyperlink" Target="https://crt.sh/?id=25244732687" TargetMode="External"/><Relationship Id="rId113" Type="http://schemas.openxmlformats.org/officeDocument/2006/relationships/hyperlink" Target="https://crt.sh/?id=25244731131" TargetMode="External"/><Relationship Id="rId114" Type="http://schemas.openxmlformats.org/officeDocument/2006/relationships/hyperlink" Target="https://crt.sh/?id=25258746074" TargetMode="External"/><Relationship Id="rId115" Type="http://schemas.openxmlformats.org/officeDocument/2006/relationships/hyperlink" Target="https://crt.sh/?id=25258752378" TargetMode="External"/><Relationship Id="rId116" Type="http://schemas.openxmlformats.org/officeDocument/2006/relationships/hyperlink" Target="https://crt.sh/?id=25288330050" TargetMode="External"/><Relationship Id="rId117" Type="http://schemas.openxmlformats.org/officeDocument/2006/relationships/hyperlink" Target="https://crt.sh/?id=25274331984" TargetMode="External"/><Relationship Id="rId118" Type="http://schemas.openxmlformats.org/officeDocument/2006/relationships/hyperlink" Target="https://crt.sh/?id=26157114011" TargetMode="External"/><Relationship Id="rId119" Type="http://schemas.openxmlformats.org/officeDocument/2006/relationships/hyperlink" Target="https://crt.sh/?id=26199792443" TargetMode="External"/><Relationship Id="rId120" Type="http://schemas.openxmlformats.org/officeDocument/2006/relationships/hyperlink" Target="https://crt.sh/?id=26636735255" TargetMode="External"/><Relationship Id="rId121" Type="http://schemas.openxmlformats.org/officeDocument/2006/relationships/hyperlink" Target="https://crt.sh/?id=26636733541" TargetMode="External"/><Relationship Id="rId122" Type="http://schemas.openxmlformats.org/officeDocument/2006/relationships/hyperlink" Target="https://crt.sh/?id=26640932061" TargetMode="External"/><Relationship Id="rId123" Type="http://schemas.openxmlformats.org/officeDocument/2006/relationships/hyperlink" Target="https://crt.sh/?id=26640930071" TargetMode="External"/><Relationship Id="rId124" Type="http://schemas.openxmlformats.org/officeDocument/2006/relationships/hyperlink" Target="https://crt.sh/?id=26661031657" TargetMode="External"/><Relationship Id="rId125" Type="http://schemas.openxmlformats.org/officeDocument/2006/relationships/hyperlink" Target="https://crt.sh/?id=26661038391" TargetMode="External"/><Relationship Id="rId126" Type="http://schemas.openxmlformats.org/officeDocument/2006/relationships/hyperlink" Target="https://crt.sh/?id=26664546014" TargetMode="External"/><Relationship Id="rId127" Type="http://schemas.openxmlformats.org/officeDocument/2006/relationships/hyperlink" Target="https://crt.sh/?id=26664567161" TargetMode="External"/><Relationship Id="rId128" Type="http://schemas.openxmlformats.org/officeDocument/2006/relationships/hyperlink" Target="https://crt.sh/?id=27293870438" TargetMode="External"/><Relationship Id="rId129" Type="http://schemas.openxmlformats.org/officeDocument/2006/relationships/hyperlink" Target="https://crt.sh/?id=28193141025" TargetMode="External"/><Relationship Id="rId130" Type="http://schemas.openxmlformats.org/officeDocument/2006/relationships/hyperlink" Target="https://crt.sh/?id=28197756289" TargetMode="External"/><Relationship Id="rId131" Type="http://schemas.openxmlformats.org/officeDocument/2006/relationships/hyperlink" Target="https://crt.sh/?id=28197856865" TargetMode="External"/><Relationship Id="rId132" Type="http://schemas.openxmlformats.org/officeDocument/2006/relationships/hyperlink" Target="https://crt.sh/?id=28193343203" TargetMode="External"/><Relationship Id="rId133" Type="http://schemas.openxmlformats.org/officeDocument/2006/relationships/hyperlink" Target="https://crt.sh/?id=28214086378" TargetMode="External"/><Relationship Id="rId134" Type="http://schemas.openxmlformats.org/officeDocument/2006/relationships/hyperlink" Target="https://crt.sh/?id=28214083296" TargetMode="External"/><Relationship Id="rId135" Type="http://schemas.openxmlformats.org/officeDocument/2006/relationships/hyperlink" Target="https://crt.sh/?id=28226429452" TargetMode="External"/><Relationship Id="rId136" Type="http://schemas.openxmlformats.org/officeDocument/2006/relationships/hyperlink" Target="https://crt.sh/?id=28226463742" TargetMode="External"/><Relationship Id="rId137" Type="http://schemas.openxmlformats.org/officeDocument/2006/relationships/hyperlink" Target="https://crt.sh/?id=28230471242" TargetMode="External"/><Relationship Id="rId138" Type="http://schemas.openxmlformats.org/officeDocument/2006/relationships/hyperlink" Target="https://crt.sh/?id=28230472053" TargetMode="External"/><Relationship Id="rId139" Type="http://schemas.openxmlformats.org/officeDocument/2006/relationships/hyperlink" Target="https://crt.sh/?id=28231107664" TargetMode="External"/><Relationship Id="rId140" Type="http://schemas.openxmlformats.org/officeDocument/2006/relationships/hyperlink" Target="https://crt.sh/?id=28889799209" TargetMode="External"/><Relationship Id="rId141" Type="http://schemas.openxmlformats.org/officeDocument/2006/relationships/hyperlink" Target="https://crt.sh/?id=29778573039" TargetMode="External"/><Relationship Id="rId142" Type="http://schemas.openxmlformats.org/officeDocument/2006/relationships/hyperlink" Target="https://crt.sh/?id=29502212415" TargetMode="External"/><Relationship Id="rId143" Type="http://schemas.openxmlformats.org/officeDocument/2006/relationships/hyperlink" Target="https://crt.sh/?id=29928320505" TargetMode="External"/><Relationship Id="rId144" Type="http://schemas.openxmlformats.org/officeDocument/2006/relationships/hyperlink" Target="https://crt.sh/?id=29927916024" TargetMode="External"/><Relationship Id="rId145" Type="http://schemas.openxmlformats.org/officeDocument/2006/relationships/hyperlink" Target="https://crt.sh/?id=29841667374" TargetMode="External"/><Relationship Id="rId146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eb.archive.org/web/20250307172250/http://skcn.10xvotes.com/" TargetMode="External"/><Relationship Id="rId2" Type="http://schemas.openxmlformats.org/officeDocument/2006/relationships/hyperlink" Target="https://web.archive.org/web/20250307172251/https://skcn.10xvotes.com/Identity/Account/Login?ReturnUrl=%2F" TargetMode="External"/><Relationship Id="rId3" Type="http://schemas.openxmlformats.org/officeDocument/2006/relationships/hyperlink" Target="https://web.archive.org/web/20241215042917/https://pa.10xvotes.com/js/search.js" TargetMode="External"/><Relationship Id="rId4" Type="http://schemas.openxmlformats.org/officeDocument/2006/relationships/hyperlink" Target="https://web.archive.org/web/20240829163142/https://mi.10xvotes.com/" TargetMode="External"/><Relationship Id="rId5" Type="http://schemas.openxmlformats.org/officeDocument/2006/relationships/hyperlink" Target="https://web.archive.org/web/20250404223513/http://auth.10xvotes.com/" TargetMode="External"/><Relationship Id="rId6" Type="http://schemas.openxmlformats.org/officeDocument/2006/relationships/hyperlink" Target="https://web.archive.org/web/20260114052020/https://www.10xvotes.com/app-sign-up" TargetMode="External"/><Relationship Id="rId7" Type="http://schemas.openxmlformats.org/officeDocument/2006/relationships/hyperlink" Target="https://web.archive.org/web/20260114041114/https://www.10xvotes.com/privacy" TargetMode="External"/><Relationship Id="rId8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79.8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2" t="s">
        <v>5</v>
      </c>
    </row>
    <row r="6" customFormat="false" ht="23.85" hidden="false" customHeight="false" outlineLevel="0" collapsed="false">
      <c r="A6" s="2" t="s">
        <v>6</v>
      </c>
      <c r="B6" s="2" t="s">
        <v>7</v>
      </c>
    </row>
    <row r="7" customFormat="false" ht="1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15" hidden="false" customHeight="false" outlineLevel="0" collapsed="false">
      <c r="A9" s="2" t="s">
        <v>12</v>
      </c>
      <c r="B9" s="2" t="s">
        <v>13</v>
      </c>
    </row>
    <row r="10" customFormat="false" ht="15" hidden="false" customHeight="false" outlineLevel="0" collapsed="false">
      <c r="A10" s="2"/>
      <c r="B10" s="2"/>
    </row>
    <row r="11" customFormat="false" ht="23.85" hidden="false" customHeight="false" outlineLevel="0" collapsed="false">
      <c r="A11" s="2" t="s">
        <v>14</v>
      </c>
      <c r="B1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4" t="s">
        <v>16</v>
      </c>
      <c r="B1" s="4" t="s">
        <v>17</v>
      </c>
      <c r="C1" s="4" t="s">
        <v>6</v>
      </c>
      <c r="D1" s="4" t="s">
        <v>18</v>
      </c>
      <c r="E1" s="4" t="s">
        <v>19</v>
      </c>
      <c r="F1" s="4" t="s">
        <v>20</v>
      </c>
    </row>
    <row r="2" customFormat="false" ht="23.85" hidden="false" customHeight="false" outlineLevel="0" collapsed="false">
      <c r="A2" s="2" t="s">
        <v>21</v>
      </c>
      <c r="B2" s="2" t="s">
        <v>22</v>
      </c>
      <c r="C2" s="2" t="n">
        <f aca="false">COUNTIF(Certificates!$B$2:$B$146,"*skcn.10xvotes.com*")</f>
        <v>4</v>
      </c>
      <c r="D2" s="5" t="n">
        <f aca="false">_xlfn.MINIFS(Certificates!$E$2:$E$146,Certificates!$B$2:$B$146,"*skcn.10xvotes.com*")</f>
        <v>45723</v>
      </c>
      <c r="E2" s="5" t="n">
        <f aca="false">_xlfn.MAXIFS(Certificates!$E$2:$E$146,Certificates!$B$2:$B$146,"*skcn.10xvotes.com*")</f>
        <v>46076</v>
      </c>
      <c r="F2" s="2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n">
        <f aca="false">COUNTIF(Certificates!$B$2:$B$146,"*mi.10xvotes.com*")</f>
        <v>6</v>
      </c>
      <c r="D3" s="5" t="n">
        <f aca="false">_xlfn.MINIFS(Certificates!$E$2:$E$146,Certificates!$B$2:$B$146,"*mi.10xvotes.com*")</f>
        <v>45436</v>
      </c>
      <c r="E3" s="5" t="n">
        <f aca="false">_xlfn.MAXIFS(Certificates!$E$2:$E$146,Certificates!$B$2:$B$146,"*mi.10xvotes.com*")</f>
        <v>46076</v>
      </c>
      <c r="F3" s="2"/>
    </row>
    <row r="4" customFormat="false" ht="15" hidden="false" customHeight="false" outlineLevel="0" collapsed="false">
      <c r="A4" s="2" t="s">
        <v>26</v>
      </c>
      <c r="B4" s="2" t="s">
        <v>27</v>
      </c>
      <c r="C4" s="2" t="n">
        <f aca="false">COUNTIF(Certificates!$B$2:$B$146,"*wi.10xvotes.com*")</f>
        <v>5</v>
      </c>
      <c r="D4" s="5" t="n">
        <f aca="false">_xlfn.MINIFS(Certificates!$E$2:$E$146,Certificates!$B$2:$B$146,"*wi.10xvotes.com*")</f>
        <v>45582</v>
      </c>
      <c r="E4" s="5" t="n">
        <f aca="false">_xlfn.MAXIFS(Certificates!$E$2:$E$146,Certificates!$B$2:$B$146,"*wi.10xvotes.com*")</f>
        <v>46076</v>
      </c>
      <c r="F4" s="2"/>
    </row>
    <row r="5" customFormat="false" ht="15" hidden="false" customHeight="false" outlineLevel="0" collapsed="false">
      <c r="A5" s="2" t="s">
        <v>28</v>
      </c>
      <c r="B5" s="2" t="s">
        <v>27</v>
      </c>
      <c r="C5" s="2" t="n">
        <f aca="false">COUNTIF(Certificates!$B$2:$B$146,"*pa.10xvotes.com*")</f>
        <v>5</v>
      </c>
      <c r="D5" s="5" t="n">
        <f aca="false">_xlfn.MINIFS(Certificates!$E$2:$E$146,Certificates!$B$2:$B$146,"*pa.10xvotes.com*")</f>
        <v>45569</v>
      </c>
      <c r="E5" s="5" t="n">
        <f aca="false">_xlfn.MAXIFS(Certificates!$E$2:$E$146,Certificates!$B$2:$B$146,"*pa.10xvotes.com*")</f>
        <v>46076</v>
      </c>
      <c r="F5" s="2"/>
    </row>
    <row r="6" customFormat="false" ht="15" hidden="false" customHeight="false" outlineLevel="0" collapsed="false">
      <c r="A6" s="2" t="s">
        <v>29</v>
      </c>
      <c r="B6" s="2" t="s">
        <v>27</v>
      </c>
      <c r="C6" s="2" t="n">
        <f aca="false">COUNTIF(Certificates!$B$2:$B$146,"*hn.10xvotes.com*")</f>
        <v>5</v>
      </c>
      <c r="D6" s="5" t="n">
        <f aca="false">_xlfn.MINIFS(Certificates!$E$2:$E$146,Certificates!$B$2:$B$146,"*hn.10xvotes.com*")</f>
        <v>45566</v>
      </c>
      <c r="E6" s="5" t="n">
        <f aca="false">_xlfn.MAXIFS(Certificates!$E$2:$E$146,Certificates!$B$2:$B$146,"*hn.10xvotes.com*")</f>
        <v>46076</v>
      </c>
      <c r="F6" s="2"/>
    </row>
    <row r="7" customFormat="false" ht="15" hidden="false" customHeight="false" outlineLevel="0" collapsed="false">
      <c r="A7" s="2" t="s">
        <v>30</v>
      </c>
      <c r="B7" s="2" t="s">
        <v>31</v>
      </c>
      <c r="C7" s="2" t="n">
        <f aca="false">COUNTIF(Certificates!$B$2:$B$146,"*auth.10xvotes.com*")</f>
        <v>20</v>
      </c>
      <c r="D7" s="5" t="n">
        <f aca="false">_xlfn.MINIFS(Certificates!$E$2:$E$146,Certificates!$B$2:$B$146,"*auth.10xvotes.com*")</f>
        <v>45751.7159722222</v>
      </c>
      <c r="E7" s="5" t="n">
        <f aca="false">_xlfn.MAXIFS(Certificates!$E$2:$E$146,Certificates!$B$2:$B$146,"*auth.10xvotes.com*")</f>
        <v>46286.9152777778</v>
      </c>
      <c r="F7" s="2" t="s">
        <v>32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n">
        <f aca="false">COUNTIF(Certificates!$B$2:$B$146,"*pay.10xvotes.com*")</f>
        <v>3</v>
      </c>
      <c r="D8" s="5" t="n">
        <f aca="false">_xlfn.MINIFS(Certificates!$E$2:$E$146,Certificates!$B$2:$B$146,"*pay.10xvotes.com*")</f>
        <v>45352.8423611111</v>
      </c>
      <c r="E8" s="5" t="n">
        <f aca="false">_xlfn.MAXIFS(Certificates!$E$2:$E$146,Certificates!$B$2:$B$146,"*pay.10xvotes.com*")</f>
        <v>46053.3520833333</v>
      </c>
      <c r="F8" s="2"/>
    </row>
    <row r="9" customFormat="false" ht="15" hidden="false" customHeight="false" outlineLevel="0" collapsed="false">
      <c r="A9" s="2" t="s">
        <v>35</v>
      </c>
      <c r="B9" s="2" t="s">
        <v>36</v>
      </c>
      <c r="C9" s="2" t="n">
        <f aca="false">COUNTIF(Certificates!$B$2:$B$146,"~**")</f>
        <v>25</v>
      </c>
      <c r="D9" s="5" t="n">
        <f aca="false">_xlfn.MINIFS(Certificates!$E$2:$E$146,Certificates!$B$2:$B$146,"~**")</f>
        <v>45541.875</v>
      </c>
      <c r="E9" s="5" t="n">
        <f aca="false">_xlfn.MAXIFS(Certificates!$E$2:$E$146,Certificates!$B$2:$B$146,"~**")</f>
        <v>46250.4944444444</v>
      </c>
      <c r="F9" s="2"/>
    </row>
    <row r="10" customFormat="false" ht="15" hidden="false" customHeight="false" outlineLevel="0" collapsed="false">
      <c r="A10" s="2" t="s">
        <v>37</v>
      </c>
      <c r="B10" s="2" t="s">
        <v>38</v>
      </c>
      <c r="C10" s="2" t="n">
        <f aca="false">COUNTIF(Certificates!$B$2:$B$146,"*www.10xvotes.com*")</f>
        <v>36</v>
      </c>
      <c r="D10" s="5" t="n">
        <f aca="false">_xlfn.MINIFS(Certificates!$E$2:$E$146,Certificates!$B$2:$B$146,"*www.10xvotes.com*")</f>
        <v>45352.8229166667</v>
      </c>
      <c r="E10" s="5" t="n">
        <f aca="false">_xlfn.MAXIFS(Certificates!$E$2:$E$146,Certificates!$B$2:$B$146,"*www.10xvotes.com*")</f>
        <v>46285.9</v>
      </c>
      <c r="F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36"/>
  </cols>
  <sheetData>
    <row r="1" customFormat="false" ht="26.85" hidden="false" customHeight="false" outlineLevel="0" collapsed="false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</row>
    <row r="2" customFormat="false" ht="15" hidden="false" customHeight="false" outlineLevel="0" collapsed="false">
      <c r="A2" s="2" t="n">
        <v>12243411481</v>
      </c>
      <c r="B2" s="2" t="s">
        <v>47</v>
      </c>
      <c r="C2" s="2" t="s">
        <v>48</v>
      </c>
      <c r="D2" s="2" t="s">
        <v>49</v>
      </c>
      <c r="E2" s="7" t="n">
        <v>45352.8229166667</v>
      </c>
      <c r="F2" s="5" t="n">
        <v>45442</v>
      </c>
      <c r="G2" s="2" t="s">
        <v>50</v>
      </c>
      <c r="H2" s="8" t="s">
        <v>51</v>
      </c>
    </row>
    <row r="3" customFormat="false" ht="15" hidden="false" customHeight="false" outlineLevel="0" collapsed="false">
      <c r="A3" s="2" t="n">
        <v>12243413146</v>
      </c>
      <c r="B3" s="2" t="s">
        <v>37</v>
      </c>
      <c r="C3" s="2" t="s">
        <v>48</v>
      </c>
      <c r="D3" s="2" t="s">
        <v>49</v>
      </c>
      <c r="E3" s="7" t="n">
        <v>45352.8229166667</v>
      </c>
      <c r="F3" s="5" t="n">
        <v>45442</v>
      </c>
      <c r="G3" s="2" t="s">
        <v>50</v>
      </c>
      <c r="H3" s="8" t="s">
        <v>52</v>
      </c>
    </row>
    <row r="4" customFormat="false" ht="23.85" hidden="false" customHeight="false" outlineLevel="0" collapsed="false">
      <c r="A4" s="2" t="n">
        <v>12243193306</v>
      </c>
      <c r="B4" s="2" t="s">
        <v>53</v>
      </c>
      <c r="C4" s="2" t="s">
        <v>54</v>
      </c>
      <c r="D4" s="2" t="s">
        <v>55</v>
      </c>
      <c r="E4" s="7" t="n">
        <v>45352.8423611111</v>
      </c>
      <c r="F4" s="5" t="n">
        <v>45717</v>
      </c>
      <c r="G4" s="2" t="s">
        <v>56</v>
      </c>
      <c r="H4" s="8" t="s">
        <v>57</v>
      </c>
    </row>
    <row r="5" customFormat="false" ht="15" hidden="false" customHeight="false" outlineLevel="0" collapsed="false">
      <c r="A5" s="2" t="n">
        <v>13113017590</v>
      </c>
      <c r="B5" s="2" t="s">
        <v>47</v>
      </c>
      <c r="C5" s="2" t="s">
        <v>48</v>
      </c>
      <c r="D5" s="2" t="s">
        <v>49</v>
      </c>
      <c r="E5" s="7" t="n">
        <v>45430.84375</v>
      </c>
      <c r="F5" s="5" t="n">
        <v>45520</v>
      </c>
      <c r="G5" s="2" t="s">
        <v>50</v>
      </c>
      <c r="H5" s="8" t="s">
        <v>58</v>
      </c>
    </row>
    <row r="6" customFormat="false" ht="15" hidden="false" customHeight="false" outlineLevel="0" collapsed="false">
      <c r="A6" s="2" t="n">
        <v>13096802237</v>
      </c>
      <c r="B6" s="2" t="s">
        <v>37</v>
      </c>
      <c r="C6" s="2" t="s">
        <v>48</v>
      </c>
      <c r="D6" s="2" t="s">
        <v>49</v>
      </c>
      <c r="E6" s="7" t="n">
        <v>45430.8541666667</v>
      </c>
      <c r="F6" s="5" t="n">
        <v>45520</v>
      </c>
      <c r="G6" s="2" t="s">
        <v>50</v>
      </c>
      <c r="H6" s="8" t="s">
        <v>59</v>
      </c>
    </row>
    <row r="7" customFormat="false" ht="23.85" hidden="false" customHeight="false" outlineLevel="0" collapsed="false">
      <c r="A7" s="2" t="n">
        <v>13166395621</v>
      </c>
      <c r="B7" s="2" t="s">
        <v>24</v>
      </c>
      <c r="C7" s="2" t="s">
        <v>60</v>
      </c>
      <c r="D7" s="2" t="s">
        <v>61</v>
      </c>
      <c r="E7" s="7" t="n">
        <v>45436</v>
      </c>
      <c r="F7" s="5" t="n">
        <v>45620</v>
      </c>
      <c r="G7" s="2" t="s">
        <v>62</v>
      </c>
      <c r="H7" s="8" t="s">
        <v>63</v>
      </c>
    </row>
    <row r="8" customFormat="false" ht="15" hidden="false" customHeight="false" outlineLevel="0" collapsed="false">
      <c r="A8" s="2" t="n">
        <v>13350020263</v>
      </c>
      <c r="B8" s="2" t="s">
        <v>47</v>
      </c>
      <c r="C8" s="2" t="s">
        <v>48</v>
      </c>
      <c r="D8" s="2" t="s">
        <v>64</v>
      </c>
      <c r="E8" s="7" t="n">
        <v>45454.2118055556</v>
      </c>
      <c r="F8" s="5" t="n">
        <v>45544</v>
      </c>
      <c r="G8" s="2" t="s">
        <v>50</v>
      </c>
      <c r="H8" s="8" t="s">
        <v>65</v>
      </c>
    </row>
    <row r="9" customFormat="false" ht="15" hidden="false" customHeight="false" outlineLevel="0" collapsed="false">
      <c r="A9" s="2" t="n">
        <v>13350024295</v>
      </c>
      <c r="B9" s="2" t="s">
        <v>47</v>
      </c>
      <c r="C9" s="2" t="s">
        <v>48</v>
      </c>
      <c r="D9" s="2" t="s">
        <v>66</v>
      </c>
      <c r="E9" s="7" t="n">
        <v>45454.2118055556</v>
      </c>
      <c r="F9" s="5" t="n">
        <v>45544</v>
      </c>
      <c r="G9" s="2" t="s">
        <v>50</v>
      </c>
      <c r="H9" s="8" t="s">
        <v>67</v>
      </c>
    </row>
    <row r="10" customFormat="false" ht="15" hidden="false" customHeight="false" outlineLevel="0" collapsed="false">
      <c r="A10" s="2" t="n">
        <v>13375818881</v>
      </c>
      <c r="B10" s="2" t="s">
        <v>37</v>
      </c>
      <c r="C10" s="2" t="s">
        <v>48</v>
      </c>
      <c r="D10" s="2" t="s">
        <v>64</v>
      </c>
      <c r="E10" s="7" t="n">
        <v>45456.2895833333</v>
      </c>
      <c r="F10" s="5" t="n">
        <v>45546</v>
      </c>
      <c r="G10" s="2" t="s">
        <v>50</v>
      </c>
      <c r="H10" s="8" t="s">
        <v>68</v>
      </c>
    </row>
    <row r="11" customFormat="false" ht="15" hidden="false" customHeight="false" outlineLevel="0" collapsed="false">
      <c r="A11" s="2" t="n">
        <v>13375817692</v>
      </c>
      <c r="B11" s="2" t="s">
        <v>37</v>
      </c>
      <c r="C11" s="2" t="s">
        <v>48</v>
      </c>
      <c r="D11" s="2" t="s">
        <v>66</v>
      </c>
      <c r="E11" s="7" t="n">
        <v>45456.2895833333</v>
      </c>
      <c r="F11" s="5" t="n">
        <v>45546</v>
      </c>
      <c r="G11" s="2" t="s">
        <v>50</v>
      </c>
      <c r="H11" s="8" t="s">
        <v>69</v>
      </c>
    </row>
    <row r="12" customFormat="false" ht="15" hidden="false" customHeight="false" outlineLevel="0" collapsed="false">
      <c r="A12" s="2" t="n">
        <v>14003189313</v>
      </c>
      <c r="B12" s="2" t="s">
        <v>37</v>
      </c>
      <c r="C12" s="2" t="s">
        <v>48</v>
      </c>
      <c r="D12" s="2" t="s">
        <v>64</v>
      </c>
      <c r="E12" s="7" t="n">
        <v>45508.9</v>
      </c>
      <c r="F12" s="5" t="n">
        <v>45598</v>
      </c>
      <c r="G12" s="2" t="s">
        <v>50</v>
      </c>
      <c r="H12" s="8" t="s">
        <v>70</v>
      </c>
    </row>
    <row r="13" customFormat="false" ht="15" hidden="false" customHeight="false" outlineLevel="0" collapsed="false">
      <c r="A13" s="2" t="n">
        <v>14002606642</v>
      </c>
      <c r="B13" s="2" t="s">
        <v>47</v>
      </c>
      <c r="C13" s="2" t="s">
        <v>48</v>
      </c>
      <c r="D13" s="2" t="s">
        <v>71</v>
      </c>
      <c r="E13" s="7" t="n">
        <v>45508.9048611111</v>
      </c>
      <c r="F13" s="5" t="n">
        <v>45598</v>
      </c>
      <c r="G13" s="2" t="s">
        <v>50</v>
      </c>
      <c r="H13" s="8" t="s">
        <v>72</v>
      </c>
    </row>
    <row r="14" customFormat="false" ht="15" hidden="false" customHeight="false" outlineLevel="0" collapsed="false">
      <c r="A14" s="2" t="n">
        <v>14455802108</v>
      </c>
      <c r="B14" s="2" t="s">
        <v>73</v>
      </c>
      <c r="C14" s="2" t="s">
        <v>48</v>
      </c>
      <c r="D14" s="2" t="s">
        <v>74</v>
      </c>
      <c r="E14" s="7" t="n">
        <v>45541.875</v>
      </c>
      <c r="F14" s="5" t="n">
        <v>45631</v>
      </c>
      <c r="G14" s="2" t="s">
        <v>75</v>
      </c>
      <c r="H14" s="8" t="s">
        <v>76</v>
      </c>
    </row>
    <row r="15" customFormat="false" ht="15" hidden="false" customHeight="false" outlineLevel="0" collapsed="false">
      <c r="A15" s="2" t="n">
        <v>14455833706</v>
      </c>
      <c r="B15" s="2" t="s">
        <v>73</v>
      </c>
      <c r="C15" s="2" t="s">
        <v>77</v>
      </c>
      <c r="D15" s="2" t="s">
        <v>78</v>
      </c>
      <c r="E15" s="7" t="n">
        <v>45541.8763888889</v>
      </c>
      <c r="F15" s="5" t="n">
        <v>45631</v>
      </c>
      <c r="G15" s="2" t="s">
        <v>75</v>
      </c>
      <c r="H15" s="8" t="s">
        <v>79</v>
      </c>
    </row>
    <row r="16" customFormat="false" ht="23.85" hidden="false" customHeight="false" outlineLevel="0" collapsed="false">
      <c r="A16" s="2" t="n">
        <v>14758844764</v>
      </c>
      <c r="B16" s="2" t="s">
        <v>29</v>
      </c>
      <c r="C16" s="2" t="s">
        <v>60</v>
      </c>
      <c r="D16" s="2" t="s">
        <v>61</v>
      </c>
      <c r="E16" s="7" t="n">
        <v>45566</v>
      </c>
      <c r="F16" s="5" t="n">
        <v>45748</v>
      </c>
      <c r="G16" s="2" t="s">
        <v>62</v>
      </c>
      <c r="H16" s="8" t="s">
        <v>80</v>
      </c>
    </row>
    <row r="17" customFormat="false" ht="23.85" hidden="false" customHeight="false" outlineLevel="0" collapsed="false">
      <c r="A17" s="2" t="n">
        <v>14798840683</v>
      </c>
      <c r="B17" s="2" t="s">
        <v>28</v>
      </c>
      <c r="C17" s="2" t="s">
        <v>60</v>
      </c>
      <c r="D17" s="2" t="s">
        <v>61</v>
      </c>
      <c r="E17" s="7" t="n">
        <v>45569</v>
      </c>
      <c r="F17" s="5" t="n">
        <v>45751</v>
      </c>
      <c r="G17" s="2" t="s">
        <v>62</v>
      </c>
      <c r="H17" s="8" t="s">
        <v>81</v>
      </c>
    </row>
    <row r="18" customFormat="false" ht="23.85" hidden="false" customHeight="false" outlineLevel="0" collapsed="false">
      <c r="A18" s="2" t="n">
        <v>14974554751</v>
      </c>
      <c r="B18" s="2" t="s">
        <v>26</v>
      </c>
      <c r="C18" s="2" t="s">
        <v>60</v>
      </c>
      <c r="D18" s="2" t="s">
        <v>61</v>
      </c>
      <c r="E18" s="7" t="n">
        <v>45582</v>
      </c>
      <c r="F18" s="5" t="n">
        <v>45764</v>
      </c>
      <c r="G18" s="2" t="s">
        <v>62</v>
      </c>
      <c r="H18" s="8" t="s">
        <v>82</v>
      </c>
    </row>
    <row r="19" customFormat="false" ht="15" hidden="false" customHeight="false" outlineLevel="0" collapsed="false">
      <c r="A19" s="2" t="n">
        <v>15138119153</v>
      </c>
      <c r="B19" s="2" t="s">
        <v>37</v>
      </c>
      <c r="C19" s="2" t="s">
        <v>77</v>
      </c>
      <c r="D19" s="2" t="s">
        <v>83</v>
      </c>
      <c r="E19" s="7" t="n">
        <v>45594.6236111111</v>
      </c>
      <c r="F19" s="5" t="n">
        <v>45684</v>
      </c>
      <c r="G19" s="2" t="s">
        <v>50</v>
      </c>
      <c r="H19" s="8" t="s">
        <v>84</v>
      </c>
    </row>
    <row r="20" customFormat="false" ht="15" hidden="false" customHeight="false" outlineLevel="0" collapsed="false">
      <c r="A20" s="2" t="n">
        <v>15130287798</v>
      </c>
      <c r="B20" s="2" t="s">
        <v>37</v>
      </c>
      <c r="C20" s="2" t="s">
        <v>77</v>
      </c>
      <c r="D20" s="2" t="s">
        <v>78</v>
      </c>
      <c r="E20" s="7" t="n">
        <v>45594.6243055556</v>
      </c>
      <c r="F20" s="5" t="n">
        <v>45684</v>
      </c>
      <c r="G20" s="2" t="s">
        <v>50</v>
      </c>
      <c r="H20" s="8" t="s">
        <v>85</v>
      </c>
    </row>
    <row r="21" customFormat="false" ht="15" hidden="false" customHeight="false" outlineLevel="0" collapsed="false">
      <c r="A21" s="2" t="n">
        <v>15164293758</v>
      </c>
      <c r="B21" s="2" t="s">
        <v>47</v>
      </c>
      <c r="C21" s="2" t="s">
        <v>77</v>
      </c>
      <c r="D21" s="2" t="s">
        <v>83</v>
      </c>
      <c r="E21" s="7" t="n">
        <v>45596.3597222222</v>
      </c>
      <c r="F21" s="5" t="n">
        <v>45686</v>
      </c>
      <c r="G21" s="2" t="s">
        <v>50</v>
      </c>
      <c r="H21" s="8" t="s">
        <v>86</v>
      </c>
    </row>
    <row r="22" customFormat="false" ht="15" hidden="false" customHeight="false" outlineLevel="0" collapsed="false">
      <c r="A22" s="2" t="n">
        <v>15157201068</v>
      </c>
      <c r="B22" s="2" t="s">
        <v>47</v>
      </c>
      <c r="C22" s="2" t="s">
        <v>77</v>
      </c>
      <c r="D22" s="2" t="s">
        <v>78</v>
      </c>
      <c r="E22" s="7" t="n">
        <v>45596.3597222222</v>
      </c>
      <c r="F22" s="5" t="n">
        <v>45686</v>
      </c>
      <c r="G22" s="2" t="s">
        <v>50</v>
      </c>
      <c r="H22" s="8" t="s">
        <v>87</v>
      </c>
    </row>
    <row r="23" customFormat="false" ht="15" hidden="false" customHeight="false" outlineLevel="0" collapsed="false">
      <c r="A23" s="2" t="n">
        <v>15185532545</v>
      </c>
      <c r="B23" s="2" t="s">
        <v>47</v>
      </c>
      <c r="C23" s="2" t="s">
        <v>48</v>
      </c>
      <c r="D23" s="2" t="s">
        <v>64</v>
      </c>
      <c r="E23" s="7" t="n">
        <v>45598.5916666667</v>
      </c>
      <c r="F23" s="5" t="n">
        <v>45688</v>
      </c>
      <c r="G23" s="2" t="s">
        <v>50</v>
      </c>
      <c r="H23" s="8" t="s">
        <v>88</v>
      </c>
    </row>
    <row r="24" customFormat="false" ht="15" hidden="false" customHeight="false" outlineLevel="0" collapsed="false">
      <c r="A24" s="2" t="n">
        <v>15191662180</v>
      </c>
      <c r="B24" s="2" t="s">
        <v>37</v>
      </c>
      <c r="C24" s="2" t="s">
        <v>48</v>
      </c>
      <c r="D24" s="2" t="s">
        <v>71</v>
      </c>
      <c r="E24" s="7" t="n">
        <v>45598.5923611111</v>
      </c>
      <c r="F24" s="5" t="n">
        <v>45688</v>
      </c>
      <c r="G24" s="2" t="s">
        <v>50</v>
      </c>
      <c r="H24" s="8" t="s">
        <v>89</v>
      </c>
    </row>
    <row r="25" customFormat="false" ht="15" hidden="false" customHeight="false" outlineLevel="0" collapsed="false">
      <c r="A25" s="2" t="n">
        <v>15221021556</v>
      </c>
      <c r="B25" s="2" t="s">
        <v>73</v>
      </c>
      <c r="C25" s="2" t="s">
        <v>48</v>
      </c>
      <c r="D25" s="2" t="s">
        <v>74</v>
      </c>
      <c r="E25" s="7" t="n">
        <v>45600.8902777778</v>
      </c>
      <c r="F25" s="5" t="n">
        <v>45690</v>
      </c>
      <c r="G25" s="2" t="s">
        <v>75</v>
      </c>
      <c r="H25" s="8" t="s">
        <v>90</v>
      </c>
    </row>
    <row r="26" customFormat="false" ht="15" hidden="false" customHeight="false" outlineLevel="0" collapsed="false">
      <c r="A26" s="2" t="n">
        <v>15215071144</v>
      </c>
      <c r="B26" s="2" t="s">
        <v>73</v>
      </c>
      <c r="C26" s="2" t="s">
        <v>77</v>
      </c>
      <c r="D26" s="2" t="s">
        <v>78</v>
      </c>
      <c r="E26" s="7" t="n">
        <v>45600.9229166667</v>
      </c>
      <c r="F26" s="5" t="n">
        <v>45690</v>
      </c>
      <c r="G26" s="2" t="s">
        <v>75</v>
      </c>
      <c r="H26" s="8" t="s">
        <v>91</v>
      </c>
    </row>
    <row r="27" customFormat="false" ht="23.85" hidden="false" customHeight="false" outlineLevel="0" collapsed="false">
      <c r="A27" s="2" t="n">
        <v>15824555309</v>
      </c>
      <c r="B27" s="2" t="s">
        <v>24</v>
      </c>
      <c r="C27" s="2" t="s">
        <v>60</v>
      </c>
      <c r="D27" s="2" t="s">
        <v>61</v>
      </c>
      <c r="E27" s="7" t="n">
        <v>45646</v>
      </c>
      <c r="F27" s="5" t="n">
        <v>45828</v>
      </c>
      <c r="G27" s="2" t="s">
        <v>62</v>
      </c>
      <c r="H27" s="8" t="s">
        <v>92</v>
      </c>
    </row>
    <row r="28" customFormat="false" ht="15" hidden="false" customHeight="false" outlineLevel="0" collapsed="false">
      <c r="A28" s="2" t="n">
        <v>16331046994</v>
      </c>
      <c r="B28" s="2" t="s">
        <v>73</v>
      </c>
      <c r="C28" s="2" t="s">
        <v>48</v>
      </c>
      <c r="D28" s="2" t="s">
        <v>74</v>
      </c>
      <c r="E28" s="7" t="n">
        <v>45659.9076388889</v>
      </c>
      <c r="F28" s="5" t="n">
        <v>45749</v>
      </c>
      <c r="G28" s="2" t="s">
        <v>75</v>
      </c>
      <c r="H28" s="8" t="s">
        <v>93</v>
      </c>
    </row>
    <row r="29" customFormat="false" ht="15" hidden="false" customHeight="false" outlineLevel="0" collapsed="false">
      <c r="A29" s="2" t="n">
        <v>16478040918</v>
      </c>
      <c r="B29" s="2" t="s">
        <v>73</v>
      </c>
      <c r="C29" s="2" t="s">
        <v>77</v>
      </c>
      <c r="D29" s="2" t="s">
        <v>78</v>
      </c>
      <c r="E29" s="7" t="n">
        <v>45659.9291666667</v>
      </c>
      <c r="F29" s="5" t="n">
        <v>45749</v>
      </c>
      <c r="G29" s="2" t="s">
        <v>75</v>
      </c>
      <c r="H29" s="8" t="s">
        <v>94</v>
      </c>
    </row>
    <row r="30" customFormat="false" ht="15" hidden="false" customHeight="false" outlineLevel="0" collapsed="false">
      <c r="A30" s="2" t="n">
        <v>16326339776</v>
      </c>
      <c r="B30" s="2" t="s">
        <v>37</v>
      </c>
      <c r="C30" s="2" t="s">
        <v>48</v>
      </c>
      <c r="D30" s="2" t="s">
        <v>71</v>
      </c>
      <c r="E30" s="7" t="n">
        <v>45676.6333333333</v>
      </c>
      <c r="F30" s="5" t="n">
        <v>45766</v>
      </c>
      <c r="G30" s="2" t="s">
        <v>50</v>
      </c>
      <c r="H30" s="8" t="s">
        <v>95</v>
      </c>
    </row>
    <row r="31" customFormat="false" ht="15" hidden="false" customHeight="false" outlineLevel="0" collapsed="false">
      <c r="A31" s="2" t="n">
        <v>16326917737</v>
      </c>
      <c r="B31" s="2" t="s">
        <v>47</v>
      </c>
      <c r="C31" s="2" t="s">
        <v>48</v>
      </c>
      <c r="D31" s="2" t="s">
        <v>71</v>
      </c>
      <c r="E31" s="7" t="n">
        <v>45676.6354166667</v>
      </c>
      <c r="F31" s="5" t="n">
        <v>45766</v>
      </c>
      <c r="G31" s="2" t="s">
        <v>50</v>
      </c>
      <c r="H31" s="8" t="s">
        <v>96</v>
      </c>
    </row>
    <row r="32" customFormat="false" ht="23.85" hidden="false" customHeight="false" outlineLevel="0" collapsed="false">
      <c r="A32" s="2" t="n">
        <v>16471384307</v>
      </c>
      <c r="B32" s="2" t="s">
        <v>53</v>
      </c>
      <c r="C32" s="2" t="s">
        <v>54</v>
      </c>
      <c r="D32" s="2" t="s">
        <v>55</v>
      </c>
      <c r="E32" s="7" t="n">
        <v>45688.7145833333</v>
      </c>
      <c r="F32" s="5" t="n">
        <v>46082</v>
      </c>
      <c r="G32" s="2" t="s">
        <v>56</v>
      </c>
      <c r="H32" s="8" t="s">
        <v>97</v>
      </c>
    </row>
    <row r="33" customFormat="false" ht="15" hidden="false" customHeight="false" outlineLevel="0" collapsed="false">
      <c r="A33" s="2" t="n">
        <v>17433938397</v>
      </c>
      <c r="B33" s="2" t="s">
        <v>73</v>
      </c>
      <c r="C33" s="2" t="s">
        <v>48</v>
      </c>
      <c r="D33" s="2" t="s">
        <v>74</v>
      </c>
      <c r="E33" s="7" t="n">
        <v>45718.9076388889</v>
      </c>
      <c r="F33" s="5" t="n">
        <v>45808</v>
      </c>
      <c r="G33" s="2" t="s">
        <v>75</v>
      </c>
      <c r="H33" s="8" t="s">
        <v>98</v>
      </c>
    </row>
    <row r="34" customFormat="false" ht="15" hidden="false" customHeight="false" outlineLevel="0" collapsed="false">
      <c r="A34" s="2" t="n">
        <v>17004309325</v>
      </c>
      <c r="B34" s="2" t="s">
        <v>73</v>
      </c>
      <c r="C34" s="2" t="s">
        <v>77</v>
      </c>
      <c r="D34" s="2" t="s">
        <v>78</v>
      </c>
      <c r="E34" s="7" t="n">
        <v>45718.9625</v>
      </c>
      <c r="F34" s="5" t="n">
        <v>45809</v>
      </c>
      <c r="G34" s="2" t="s">
        <v>75</v>
      </c>
      <c r="H34" s="8" t="s">
        <v>99</v>
      </c>
    </row>
    <row r="35" customFormat="false" ht="23.85" hidden="false" customHeight="false" outlineLevel="0" collapsed="false">
      <c r="A35" s="2" t="n">
        <v>16958571563</v>
      </c>
      <c r="B35" s="2" t="s">
        <v>21</v>
      </c>
      <c r="C35" s="2" t="s">
        <v>60</v>
      </c>
      <c r="D35" s="2" t="s">
        <v>61</v>
      </c>
      <c r="E35" s="7" t="n">
        <v>45723</v>
      </c>
      <c r="F35" s="5" t="n">
        <v>45907</v>
      </c>
      <c r="G35" s="2" t="s">
        <v>62</v>
      </c>
      <c r="H35" s="8" t="s">
        <v>100</v>
      </c>
    </row>
    <row r="36" customFormat="false" ht="15" hidden="false" customHeight="false" outlineLevel="0" collapsed="false">
      <c r="A36" s="2" t="n">
        <v>17628878197</v>
      </c>
      <c r="B36" s="2" t="s">
        <v>30</v>
      </c>
      <c r="C36" s="2" t="s">
        <v>48</v>
      </c>
      <c r="D36" s="2" t="s">
        <v>71</v>
      </c>
      <c r="E36" s="7" t="n">
        <v>45751.7159722222</v>
      </c>
      <c r="F36" s="5" t="n">
        <v>45841</v>
      </c>
      <c r="G36" s="2" t="s">
        <v>101</v>
      </c>
      <c r="H36" s="8" t="s">
        <v>102</v>
      </c>
    </row>
    <row r="37" customFormat="false" ht="15" hidden="false" customHeight="false" outlineLevel="0" collapsed="false">
      <c r="A37" s="2" t="n">
        <v>17673139983</v>
      </c>
      <c r="B37" s="2" t="s">
        <v>30</v>
      </c>
      <c r="C37" s="2" t="s">
        <v>48</v>
      </c>
      <c r="D37" s="2" t="s">
        <v>74</v>
      </c>
      <c r="E37" s="7" t="n">
        <v>45751.7159722222</v>
      </c>
      <c r="F37" s="5" t="n">
        <v>45841</v>
      </c>
      <c r="G37" s="2" t="s">
        <v>101</v>
      </c>
      <c r="H37" s="8" t="s">
        <v>103</v>
      </c>
    </row>
    <row r="38" customFormat="false" ht="15" hidden="false" customHeight="false" outlineLevel="0" collapsed="false">
      <c r="A38" s="2" t="n">
        <v>17721231174</v>
      </c>
      <c r="B38" s="2" t="s">
        <v>37</v>
      </c>
      <c r="C38" s="2" t="s">
        <v>48</v>
      </c>
      <c r="D38" s="2" t="s">
        <v>64</v>
      </c>
      <c r="E38" s="7" t="n">
        <v>45754.675</v>
      </c>
      <c r="F38" s="5" t="n">
        <v>45844</v>
      </c>
      <c r="G38" s="2" t="s">
        <v>50</v>
      </c>
      <c r="H38" s="8" t="s">
        <v>104</v>
      </c>
    </row>
    <row r="39" customFormat="false" ht="15" hidden="false" customHeight="false" outlineLevel="0" collapsed="false">
      <c r="A39" s="2" t="n">
        <v>17698473839</v>
      </c>
      <c r="B39" s="2" t="s">
        <v>47</v>
      </c>
      <c r="C39" s="2" t="s">
        <v>48</v>
      </c>
      <c r="D39" s="2" t="s">
        <v>64</v>
      </c>
      <c r="E39" s="7" t="n">
        <v>45754.6756944444</v>
      </c>
      <c r="F39" s="5" t="n">
        <v>45844</v>
      </c>
      <c r="G39" s="2" t="s">
        <v>50</v>
      </c>
      <c r="H39" s="8" t="s">
        <v>105</v>
      </c>
    </row>
    <row r="40" customFormat="false" ht="15" hidden="false" customHeight="false" outlineLevel="0" collapsed="false">
      <c r="A40" s="2" t="n">
        <v>17699853394</v>
      </c>
      <c r="B40" s="2" t="s">
        <v>47</v>
      </c>
      <c r="C40" s="2" t="s">
        <v>77</v>
      </c>
      <c r="D40" s="2" t="s">
        <v>83</v>
      </c>
      <c r="E40" s="7" t="n">
        <v>45754.6770833333</v>
      </c>
      <c r="F40" s="5" t="n">
        <v>45844</v>
      </c>
      <c r="G40" s="2" t="s">
        <v>50</v>
      </c>
      <c r="H40" s="8" t="s">
        <v>106</v>
      </c>
    </row>
    <row r="41" customFormat="false" ht="15" hidden="false" customHeight="false" outlineLevel="0" collapsed="false">
      <c r="A41" s="2" t="n">
        <v>17698501717</v>
      </c>
      <c r="B41" s="2" t="s">
        <v>47</v>
      </c>
      <c r="C41" s="2" t="s">
        <v>77</v>
      </c>
      <c r="D41" s="2" t="s">
        <v>78</v>
      </c>
      <c r="E41" s="7" t="n">
        <v>45754.6777777778</v>
      </c>
      <c r="F41" s="5" t="n">
        <v>45844</v>
      </c>
      <c r="G41" s="2" t="s">
        <v>50</v>
      </c>
      <c r="H41" s="8" t="s">
        <v>107</v>
      </c>
    </row>
    <row r="42" customFormat="false" ht="15" hidden="false" customHeight="false" outlineLevel="0" collapsed="false">
      <c r="A42" s="2" t="n">
        <v>17698499552</v>
      </c>
      <c r="B42" s="2" t="s">
        <v>37</v>
      </c>
      <c r="C42" s="2" t="s">
        <v>77</v>
      </c>
      <c r="D42" s="2" t="s">
        <v>83</v>
      </c>
      <c r="E42" s="7" t="n">
        <v>45754.6777777778</v>
      </c>
      <c r="F42" s="5" t="n">
        <v>45844</v>
      </c>
      <c r="G42" s="2" t="s">
        <v>50</v>
      </c>
      <c r="H42" s="8" t="s">
        <v>108</v>
      </c>
    </row>
    <row r="43" customFormat="false" ht="15" hidden="false" customHeight="false" outlineLevel="0" collapsed="false">
      <c r="A43" s="2" t="n">
        <v>17698499651</v>
      </c>
      <c r="B43" s="2" t="s">
        <v>37</v>
      </c>
      <c r="C43" s="2" t="s">
        <v>77</v>
      </c>
      <c r="D43" s="2" t="s">
        <v>78</v>
      </c>
      <c r="E43" s="7" t="n">
        <v>45754.6777777778</v>
      </c>
      <c r="F43" s="5" t="n">
        <v>45844</v>
      </c>
      <c r="G43" s="2" t="s">
        <v>50</v>
      </c>
      <c r="H43" s="8" t="s">
        <v>109</v>
      </c>
    </row>
    <row r="44" customFormat="false" ht="15" hidden="false" customHeight="false" outlineLevel="0" collapsed="false">
      <c r="A44" s="2" t="n">
        <v>18155059954</v>
      </c>
      <c r="B44" s="2" t="s">
        <v>73</v>
      </c>
      <c r="C44" s="2" t="s">
        <v>77</v>
      </c>
      <c r="D44" s="2" t="s">
        <v>78</v>
      </c>
      <c r="E44" s="7" t="n">
        <v>45777.9993055556</v>
      </c>
      <c r="F44" s="5" t="n">
        <v>45868</v>
      </c>
      <c r="G44" s="2" t="s">
        <v>75</v>
      </c>
      <c r="H44" s="8" t="s">
        <v>110</v>
      </c>
    </row>
    <row r="45" customFormat="false" ht="15" hidden="false" customHeight="false" outlineLevel="0" collapsed="false">
      <c r="A45" s="2" t="n">
        <v>18161189654</v>
      </c>
      <c r="B45" s="2" t="s">
        <v>73</v>
      </c>
      <c r="C45" s="2" t="s">
        <v>48</v>
      </c>
      <c r="D45" s="2" t="s">
        <v>74</v>
      </c>
      <c r="E45" s="7" t="n">
        <v>45778.2979166667</v>
      </c>
      <c r="F45" s="5" t="n">
        <v>45868</v>
      </c>
      <c r="G45" s="2" t="s">
        <v>75</v>
      </c>
      <c r="H45" s="8" t="s">
        <v>111</v>
      </c>
    </row>
    <row r="46" customFormat="false" ht="15" hidden="false" customHeight="false" outlineLevel="0" collapsed="false">
      <c r="A46" s="2" t="n">
        <v>18783093353</v>
      </c>
      <c r="B46" s="2" t="s">
        <v>30</v>
      </c>
      <c r="C46" s="2" t="s">
        <v>48</v>
      </c>
      <c r="D46" s="2" t="s">
        <v>74</v>
      </c>
      <c r="E46" s="7" t="n">
        <v>45811.2270833333</v>
      </c>
      <c r="F46" s="5" t="n">
        <v>45901</v>
      </c>
      <c r="G46" s="2" t="s">
        <v>101</v>
      </c>
      <c r="H46" s="8" t="s">
        <v>112</v>
      </c>
    </row>
    <row r="47" customFormat="false" ht="15" hidden="false" customHeight="false" outlineLevel="0" collapsed="false">
      <c r="A47" s="2" t="n">
        <v>18783094695</v>
      </c>
      <c r="B47" s="2" t="s">
        <v>30</v>
      </c>
      <c r="C47" s="2" t="s">
        <v>48</v>
      </c>
      <c r="D47" s="2" t="s">
        <v>71</v>
      </c>
      <c r="E47" s="7" t="n">
        <v>45811.2270833333</v>
      </c>
      <c r="F47" s="5" t="n">
        <v>45901</v>
      </c>
      <c r="G47" s="2" t="s">
        <v>101</v>
      </c>
      <c r="H47" s="8" t="s">
        <v>113</v>
      </c>
    </row>
    <row r="48" customFormat="false" ht="15" hidden="false" customHeight="false" outlineLevel="0" collapsed="false">
      <c r="A48" s="2" t="n">
        <v>18831648119</v>
      </c>
      <c r="B48" s="2" t="s">
        <v>37</v>
      </c>
      <c r="C48" s="2" t="s">
        <v>77</v>
      </c>
      <c r="D48" s="2" t="s">
        <v>83</v>
      </c>
      <c r="E48" s="7" t="n">
        <v>45813.6875</v>
      </c>
      <c r="F48" s="5" t="n">
        <v>45903</v>
      </c>
      <c r="G48" s="2" t="s">
        <v>50</v>
      </c>
      <c r="H48" s="8" t="s">
        <v>114</v>
      </c>
    </row>
    <row r="49" customFormat="false" ht="15" hidden="false" customHeight="false" outlineLevel="0" collapsed="false">
      <c r="A49" s="2" t="n">
        <v>18831314716</v>
      </c>
      <c r="B49" s="2" t="s">
        <v>37</v>
      </c>
      <c r="C49" s="2" t="s">
        <v>77</v>
      </c>
      <c r="D49" s="2" t="s">
        <v>78</v>
      </c>
      <c r="E49" s="7" t="n">
        <v>45813.6881944445</v>
      </c>
      <c r="F49" s="5" t="n">
        <v>45903</v>
      </c>
      <c r="G49" s="2" t="s">
        <v>50</v>
      </c>
      <c r="H49" s="8" t="s">
        <v>115</v>
      </c>
    </row>
    <row r="50" customFormat="false" ht="15" hidden="false" customHeight="false" outlineLevel="0" collapsed="false">
      <c r="A50" s="2" t="n">
        <v>18836036308</v>
      </c>
      <c r="B50" s="2" t="s">
        <v>47</v>
      </c>
      <c r="C50" s="2" t="s">
        <v>77</v>
      </c>
      <c r="D50" s="2" t="s">
        <v>83</v>
      </c>
      <c r="E50" s="7" t="n">
        <v>45813.8201388889</v>
      </c>
      <c r="F50" s="5" t="n">
        <v>45903</v>
      </c>
      <c r="G50" s="2" t="s">
        <v>50</v>
      </c>
      <c r="H50" s="8" t="s">
        <v>116</v>
      </c>
    </row>
    <row r="51" customFormat="false" ht="15" hidden="false" customHeight="false" outlineLevel="0" collapsed="false">
      <c r="A51" s="2" t="n">
        <v>18835284608</v>
      </c>
      <c r="B51" s="2" t="s">
        <v>47</v>
      </c>
      <c r="C51" s="2" t="s">
        <v>77</v>
      </c>
      <c r="D51" s="2" t="s">
        <v>78</v>
      </c>
      <c r="E51" s="7" t="n">
        <v>45813.8208333333</v>
      </c>
      <c r="F51" s="5" t="n">
        <v>45903</v>
      </c>
      <c r="G51" s="2" t="s">
        <v>50</v>
      </c>
      <c r="H51" s="8" t="s">
        <v>117</v>
      </c>
    </row>
    <row r="52" customFormat="false" ht="15" hidden="false" customHeight="false" outlineLevel="0" collapsed="false">
      <c r="A52" s="2" t="n">
        <v>19229804433</v>
      </c>
      <c r="B52" s="2" t="s">
        <v>37</v>
      </c>
      <c r="C52" s="2" t="s">
        <v>48</v>
      </c>
      <c r="D52" s="2" t="s">
        <v>64</v>
      </c>
      <c r="E52" s="7" t="n">
        <v>45832.7173611111</v>
      </c>
      <c r="F52" s="5" t="n">
        <v>45922</v>
      </c>
      <c r="G52" s="2" t="s">
        <v>50</v>
      </c>
      <c r="H52" s="8" t="s">
        <v>118</v>
      </c>
    </row>
    <row r="53" customFormat="false" ht="15" hidden="false" customHeight="false" outlineLevel="0" collapsed="false">
      <c r="A53" s="2" t="n">
        <v>19229837803</v>
      </c>
      <c r="B53" s="2" t="s">
        <v>47</v>
      </c>
      <c r="C53" s="2" t="s">
        <v>48</v>
      </c>
      <c r="D53" s="2" t="s">
        <v>64</v>
      </c>
      <c r="E53" s="7" t="n">
        <v>45832.71875</v>
      </c>
      <c r="F53" s="5" t="n">
        <v>45922</v>
      </c>
      <c r="G53" s="2" t="s">
        <v>50</v>
      </c>
      <c r="H53" s="8" t="s">
        <v>119</v>
      </c>
    </row>
    <row r="54" customFormat="false" ht="23.85" hidden="false" customHeight="false" outlineLevel="0" collapsed="false">
      <c r="A54" s="2" t="n">
        <v>19269053023</v>
      </c>
      <c r="B54" s="2" t="s">
        <v>29</v>
      </c>
      <c r="C54" s="2" t="s">
        <v>60</v>
      </c>
      <c r="D54" s="2" t="s">
        <v>61</v>
      </c>
      <c r="E54" s="7" t="n">
        <v>45834</v>
      </c>
      <c r="F54" s="5" t="n">
        <v>46017</v>
      </c>
      <c r="G54" s="2" t="s">
        <v>62</v>
      </c>
      <c r="H54" s="8" t="s">
        <v>120</v>
      </c>
    </row>
    <row r="55" customFormat="false" ht="23.85" hidden="false" customHeight="false" outlineLevel="0" collapsed="false">
      <c r="A55" s="2" t="n">
        <v>19269005008</v>
      </c>
      <c r="B55" s="2" t="s">
        <v>24</v>
      </c>
      <c r="C55" s="2" t="s">
        <v>60</v>
      </c>
      <c r="D55" s="2" t="s">
        <v>61</v>
      </c>
      <c r="E55" s="7" t="n">
        <v>45834</v>
      </c>
      <c r="F55" s="5" t="n">
        <v>46017</v>
      </c>
      <c r="G55" s="2" t="s">
        <v>62</v>
      </c>
      <c r="H55" s="8" t="s">
        <v>121</v>
      </c>
    </row>
    <row r="56" customFormat="false" ht="23.85" hidden="false" customHeight="false" outlineLevel="0" collapsed="false">
      <c r="A56" s="2" t="n">
        <v>19268277357</v>
      </c>
      <c r="B56" s="2" t="s">
        <v>28</v>
      </c>
      <c r="C56" s="2" t="s">
        <v>60</v>
      </c>
      <c r="D56" s="2" t="s">
        <v>61</v>
      </c>
      <c r="E56" s="7" t="n">
        <v>45834</v>
      </c>
      <c r="F56" s="5" t="n">
        <v>46017</v>
      </c>
      <c r="G56" s="2" t="s">
        <v>62</v>
      </c>
      <c r="H56" s="8" t="s">
        <v>122</v>
      </c>
    </row>
    <row r="57" customFormat="false" ht="23.85" hidden="false" customHeight="false" outlineLevel="0" collapsed="false">
      <c r="A57" s="2" t="n">
        <v>19268260352</v>
      </c>
      <c r="B57" s="2" t="s">
        <v>26</v>
      </c>
      <c r="C57" s="2" t="s">
        <v>60</v>
      </c>
      <c r="D57" s="2" t="s">
        <v>61</v>
      </c>
      <c r="E57" s="7" t="n">
        <v>45834</v>
      </c>
      <c r="F57" s="5" t="n">
        <v>46017</v>
      </c>
      <c r="G57" s="2" t="s">
        <v>62</v>
      </c>
      <c r="H57" s="8" t="s">
        <v>123</v>
      </c>
    </row>
    <row r="58" customFormat="false" ht="15" hidden="false" customHeight="false" outlineLevel="0" collapsed="false">
      <c r="A58" s="2" t="n">
        <v>19320893951</v>
      </c>
      <c r="B58" s="2" t="s">
        <v>73</v>
      </c>
      <c r="C58" s="2" t="s">
        <v>77</v>
      </c>
      <c r="D58" s="2" t="s">
        <v>78</v>
      </c>
      <c r="E58" s="7" t="n">
        <v>45837.0375</v>
      </c>
      <c r="F58" s="5" t="n">
        <v>45927</v>
      </c>
      <c r="G58" s="2" t="s">
        <v>75</v>
      </c>
      <c r="H58" s="8" t="s">
        <v>124</v>
      </c>
    </row>
    <row r="59" customFormat="false" ht="15" hidden="false" customHeight="false" outlineLevel="0" collapsed="false">
      <c r="A59" s="2" t="n">
        <v>19401616784</v>
      </c>
      <c r="B59" s="2" t="s">
        <v>73</v>
      </c>
      <c r="C59" s="2" t="s">
        <v>48</v>
      </c>
      <c r="D59" s="2" t="s">
        <v>74</v>
      </c>
      <c r="E59" s="7" t="n">
        <v>45840.7486111111</v>
      </c>
      <c r="F59" s="5" t="n">
        <v>45930</v>
      </c>
      <c r="G59" s="2" t="s">
        <v>75</v>
      </c>
      <c r="H59" s="8" t="s">
        <v>125</v>
      </c>
    </row>
    <row r="60" customFormat="false" ht="23.85" hidden="false" customHeight="false" outlineLevel="0" collapsed="false">
      <c r="A60" s="2" t="n">
        <v>23070769760</v>
      </c>
      <c r="B60" s="2" t="s">
        <v>21</v>
      </c>
      <c r="C60" s="2" t="s">
        <v>60</v>
      </c>
      <c r="D60" s="2" t="s">
        <v>61</v>
      </c>
      <c r="E60" s="7" t="n">
        <v>45863</v>
      </c>
      <c r="F60" s="5" t="n">
        <v>46047</v>
      </c>
      <c r="G60" s="2" t="s">
        <v>62</v>
      </c>
      <c r="H60" s="8" t="s">
        <v>126</v>
      </c>
    </row>
    <row r="61" customFormat="false" ht="15" hidden="false" customHeight="false" outlineLevel="0" collapsed="false">
      <c r="A61" s="2" t="n">
        <v>20055192964</v>
      </c>
      <c r="B61" s="2" t="s">
        <v>30</v>
      </c>
      <c r="C61" s="2" t="s">
        <v>48</v>
      </c>
      <c r="D61" s="2" t="s">
        <v>66</v>
      </c>
      <c r="E61" s="7" t="n">
        <v>45870.6854166667</v>
      </c>
      <c r="F61" s="5" t="n">
        <v>45960</v>
      </c>
      <c r="G61" s="2" t="s">
        <v>101</v>
      </c>
      <c r="H61" s="8" t="s">
        <v>127</v>
      </c>
    </row>
    <row r="62" customFormat="false" ht="15" hidden="false" customHeight="false" outlineLevel="0" collapsed="false">
      <c r="A62" s="2" t="n">
        <v>20055189741</v>
      </c>
      <c r="B62" s="2" t="s">
        <v>30</v>
      </c>
      <c r="C62" s="2" t="s">
        <v>48</v>
      </c>
      <c r="D62" s="2" t="s">
        <v>71</v>
      </c>
      <c r="E62" s="7" t="n">
        <v>45870.6854166667</v>
      </c>
      <c r="F62" s="5" t="n">
        <v>45960</v>
      </c>
      <c r="G62" s="2" t="s">
        <v>101</v>
      </c>
      <c r="H62" s="8" t="s">
        <v>128</v>
      </c>
    </row>
    <row r="63" customFormat="false" ht="15" hidden="false" customHeight="false" outlineLevel="0" collapsed="false">
      <c r="A63" s="2" t="n">
        <v>20095283088</v>
      </c>
      <c r="B63" s="2" t="s">
        <v>37</v>
      </c>
      <c r="C63" s="2" t="s">
        <v>77</v>
      </c>
      <c r="D63" s="2" t="s">
        <v>83</v>
      </c>
      <c r="E63" s="7" t="n">
        <v>45872.6993055556</v>
      </c>
      <c r="F63" s="5" t="n">
        <v>45962</v>
      </c>
      <c r="G63" s="2" t="s">
        <v>50</v>
      </c>
      <c r="H63" s="8" t="s">
        <v>129</v>
      </c>
    </row>
    <row r="64" customFormat="false" ht="15" hidden="false" customHeight="false" outlineLevel="0" collapsed="false">
      <c r="A64" s="2" t="n">
        <v>20095287521</v>
      </c>
      <c r="B64" s="2" t="s">
        <v>37</v>
      </c>
      <c r="C64" s="2" t="s">
        <v>77</v>
      </c>
      <c r="D64" s="2" t="s">
        <v>78</v>
      </c>
      <c r="E64" s="7" t="n">
        <v>45872.6993055556</v>
      </c>
      <c r="F64" s="5" t="n">
        <v>45962</v>
      </c>
      <c r="G64" s="2" t="s">
        <v>50</v>
      </c>
      <c r="H64" s="8" t="s">
        <v>130</v>
      </c>
    </row>
    <row r="65" customFormat="false" ht="15" hidden="false" customHeight="false" outlineLevel="0" collapsed="false">
      <c r="A65" s="2" t="n">
        <v>20100284453</v>
      </c>
      <c r="B65" s="2" t="s">
        <v>47</v>
      </c>
      <c r="C65" s="2" t="s">
        <v>77</v>
      </c>
      <c r="D65" s="2" t="s">
        <v>83</v>
      </c>
      <c r="E65" s="7" t="n">
        <v>45872.9791666667</v>
      </c>
      <c r="F65" s="5" t="n">
        <v>45963</v>
      </c>
      <c r="G65" s="2" t="s">
        <v>50</v>
      </c>
      <c r="H65" s="8" t="s">
        <v>131</v>
      </c>
    </row>
    <row r="66" customFormat="false" ht="15" hidden="false" customHeight="false" outlineLevel="0" collapsed="false">
      <c r="A66" s="2" t="n">
        <v>20100290179</v>
      </c>
      <c r="B66" s="2" t="s">
        <v>47</v>
      </c>
      <c r="C66" s="2" t="s">
        <v>77</v>
      </c>
      <c r="D66" s="2" t="s">
        <v>78</v>
      </c>
      <c r="E66" s="7" t="n">
        <v>45872.9798611111</v>
      </c>
      <c r="F66" s="5" t="n">
        <v>45963</v>
      </c>
      <c r="G66" s="2" t="s">
        <v>50</v>
      </c>
      <c r="H66" s="8" t="s">
        <v>132</v>
      </c>
    </row>
    <row r="67" customFormat="false" ht="23.85" hidden="false" customHeight="false" outlineLevel="0" collapsed="false">
      <c r="A67" s="2" t="n">
        <v>23716203692</v>
      </c>
      <c r="B67" s="2" t="s">
        <v>29</v>
      </c>
      <c r="C67" s="2" t="s">
        <v>60</v>
      </c>
      <c r="D67" s="2" t="s">
        <v>61</v>
      </c>
      <c r="E67" s="7" t="n">
        <v>45894</v>
      </c>
      <c r="F67" s="5" t="n">
        <v>46078</v>
      </c>
      <c r="G67" s="2" t="s">
        <v>62</v>
      </c>
      <c r="H67" s="8" t="s">
        <v>133</v>
      </c>
    </row>
    <row r="68" customFormat="false" ht="23.85" hidden="false" customHeight="false" outlineLevel="0" collapsed="false">
      <c r="A68" s="2" t="n">
        <v>23716396402</v>
      </c>
      <c r="B68" s="2" t="s">
        <v>24</v>
      </c>
      <c r="C68" s="2" t="s">
        <v>60</v>
      </c>
      <c r="D68" s="2" t="s">
        <v>61</v>
      </c>
      <c r="E68" s="7" t="n">
        <v>45894</v>
      </c>
      <c r="F68" s="5" t="n">
        <v>46078</v>
      </c>
      <c r="G68" s="2" t="s">
        <v>62</v>
      </c>
      <c r="H68" s="8" t="s">
        <v>134</v>
      </c>
    </row>
    <row r="69" customFormat="false" ht="23.85" hidden="false" customHeight="false" outlineLevel="0" collapsed="false">
      <c r="A69" s="2" t="n">
        <v>20560521794</v>
      </c>
      <c r="B69" s="2" t="s">
        <v>28</v>
      </c>
      <c r="C69" s="2" t="s">
        <v>60</v>
      </c>
      <c r="D69" s="2" t="s">
        <v>61</v>
      </c>
      <c r="E69" s="7" t="n">
        <v>45894</v>
      </c>
      <c r="F69" s="5" t="n">
        <v>46078</v>
      </c>
      <c r="G69" s="2" t="s">
        <v>62</v>
      </c>
      <c r="H69" s="8" t="s">
        <v>135</v>
      </c>
    </row>
    <row r="70" customFormat="false" ht="23.85" hidden="false" customHeight="false" outlineLevel="0" collapsed="false">
      <c r="A70" s="2" t="n">
        <v>20559854567</v>
      </c>
      <c r="B70" s="2" t="s">
        <v>26</v>
      </c>
      <c r="C70" s="2" t="s">
        <v>60</v>
      </c>
      <c r="D70" s="2" t="s">
        <v>61</v>
      </c>
      <c r="E70" s="7" t="n">
        <v>45894</v>
      </c>
      <c r="F70" s="5" t="n">
        <v>46078</v>
      </c>
      <c r="G70" s="2" t="s">
        <v>62</v>
      </c>
      <c r="H70" s="8" t="s">
        <v>136</v>
      </c>
    </row>
    <row r="71" customFormat="false" ht="15" hidden="false" customHeight="false" outlineLevel="0" collapsed="false">
      <c r="A71" s="2" t="n">
        <v>20598650484</v>
      </c>
      <c r="B71" s="2" t="s">
        <v>73</v>
      </c>
      <c r="C71" s="2" t="s">
        <v>77</v>
      </c>
      <c r="D71" s="2" t="s">
        <v>78</v>
      </c>
      <c r="E71" s="7" t="n">
        <v>45896.0625</v>
      </c>
      <c r="F71" s="5" t="n">
        <v>45986</v>
      </c>
      <c r="G71" s="2" t="s">
        <v>75</v>
      </c>
      <c r="H71" s="8" t="s">
        <v>137</v>
      </c>
    </row>
    <row r="72" customFormat="false" ht="15" hidden="false" customHeight="false" outlineLevel="0" collapsed="false">
      <c r="A72" s="2" t="n">
        <v>20705608066</v>
      </c>
      <c r="B72" s="2" t="s">
        <v>73</v>
      </c>
      <c r="C72" s="2" t="s">
        <v>48</v>
      </c>
      <c r="D72" s="2" t="s">
        <v>138</v>
      </c>
      <c r="E72" s="7" t="n">
        <v>45900.7041666667</v>
      </c>
      <c r="F72" s="5" t="n">
        <v>45990</v>
      </c>
      <c r="G72" s="2" t="s">
        <v>75</v>
      </c>
      <c r="H72" s="8" t="s">
        <v>139</v>
      </c>
    </row>
    <row r="73" customFormat="false" ht="15" hidden="false" customHeight="false" outlineLevel="0" collapsed="false">
      <c r="A73" s="2" t="n">
        <v>20928048156</v>
      </c>
      <c r="B73" s="2" t="s">
        <v>47</v>
      </c>
      <c r="C73" s="2" t="s">
        <v>48</v>
      </c>
      <c r="D73" s="2" t="s">
        <v>140</v>
      </c>
      <c r="E73" s="7" t="n">
        <v>45910.7590277778</v>
      </c>
      <c r="F73" s="5" t="n">
        <v>46000</v>
      </c>
      <c r="G73" s="2" t="s">
        <v>50</v>
      </c>
      <c r="H73" s="8" t="s">
        <v>141</v>
      </c>
    </row>
    <row r="74" customFormat="false" ht="15" hidden="false" customHeight="false" outlineLevel="0" collapsed="false">
      <c r="A74" s="2" t="n">
        <v>20928051746</v>
      </c>
      <c r="B74" s="2" t="s">
        <v>37</v>
      </c>
      <c r="C74" s="2" t="s">
        <v>48</v>
      </c>
      <c r="D74" s="2" t="s">
        <v>142</v>
      </c>
      <c r="E74" s="7" t="n">
        <v>45910.7590277778</v>
      </c>
      <c r="F74" s="5" t="n">
        <v>46000</v>
      </c>
      <c r="G74" s="2" t="s">
        <v>50</v>
      </c>
      <c r="H74" s="8" t="s">
        <v>143</v>
      </c>
    </row>
    <row r="75" customFormat="false" ht="15" hidden="false" customHeight="false" outlineLevel="0" collapsed="false">
      <c r="A75" s="2" t="n">
        <v>21549834459</v>
      </c>
      <c r="B75" s="2" t="s">
        <v>30</v>
      </c>
      <c r="C75" s="2" t="s">
        <v>48</v>
      </c>
      <c r="D75" s="2" t="s">
        <v>138</v>
      </c>
      <c r="E75" s="7" t="n">
        <v>45930.0208333333</v>
      </c>
      <c r="F75" s="5" t="n">
        <v>46020</v>
      </c>
      <c r="G75" s="2" t="s">
        <v>101</v>
      </c>
      <c r="H75" s="8" t="s">
        <v>144</v>
      </c>
    </row>
    <row r="76" customFormat="false" ht="15" hidden="false" customHeight="false" outlineLevel="0" collapsed="false">
      <c r="A76" s="2" t="n">
        <v>21381314125</v>
      </c>
      <c r="B76" s="2" t="s">
        <v>30</v>
      </c>
      <c r="C76" s="2" t="s">
        <v>48</v>
      </c>
      <c r="D76" s="2" t="s">
        <v>142</v>
      </c>
      <c r="E76" s="7" t="n">
        <v>45930.0208333333</v>
      </c>
      <c r="F76" s="5" t="n">
        <v>46020</v>
      </c>
      <c r="G76" s="2" t="s">
        <v>101</v>
      </c>
      <c r="H76" s="8" t="s">
        <v>145</v>
      </c>
    </row>
    <row r="77" customFormat="false" ht="15" hidden="false" customHeight="false" outlineLevel="0" collapsed="false">
      <c r="A77" s="2" t="n">
        <v>21462731568</v>
      </c>
      <c r="B77" s="2" t="s">
        <v>37</v>
      </c>
      <c r="C77" s="2" t="s">
        <v>77</v>
      </c>
      <c r="D77" s="2" t="s">
        <v>83</v>
      </c>
      <c r="E77" s="7" t="n">
        <v>45931.7083333333</v>
      </c>
      <c r="F77" s="5" t="n">
        <v>46021</v>
      </c>
      <c r="G77" s="2" t="s">
        <v>50</v>
      </c>
      <c r="H77" s="8" t="s">
        <v>146</v>
      </c>
    </row>
    <row r="78" customFormat="false" ht="15" hidden="false" customHeight="false" outlineLevel="0" collapsed="false">
      <c r="A78" s="2" t="n">
        <v>21491717149</v>
      </c>
      <c r="B78" s="2" t="s">
        <v>37</v>
      </c>
      <c r="C78" s="2" t="s">
        <v>77</v>
      </c>
      <c r="D78" s="2" t="s">
        <v>78</v>
      </c>
      <c r="E78" s="7" t="n">
        <v>45931.7083333333</v>
      </c>
      <c r="F78" s="5" t="n">
        <v>46021</v>
      </c>
      <c r="G78" s="2" t="s">
        <v>50</v>
      </c>
      <c r="H78" s="8" t="s">
        <v>147</v>
      </c>
    </row>
    <row r="79" customFormat="false" ht="15" hidden="false" customHeight="false" outlineLevel="0" collapsed="false">
      <c r="A79" s="2" t="n">
        <v>21472229321</v>
      </c>
      <c r="B79" s="2" t="s">
        <v>47</v>
      </c>
      <c r="C79" s="2" t="s">
        <v>77</v>
      </c>
      <c r="D79" s="2" t="s">
        <v>83</v>
      </c>
      <c r="E79" s="7" t="n">
        <v>45932.1243055556</v>
      </c>
      <c r="F79" s="5" t="n">
        <v>46022</v>
      </c>
      <c r="G79" s="2" t="s">
        <v>50</v>
      </c>
      <c r="H79" s="8" t="s">
        <v>148</v>
      </c>
    </row>
    <row r="80" customFormat="false" ht="15" hidden="false" customHeight="false" outlineLevel="0" collapsed="false">
      <c r="A80" s="2" t="n">
        <v>21496369860</v>
      </c>
      <c r="B80" s="2" t="s">
        <v>47</v>
      </c>
      <c r="C80" s="2" t="s">
        <v>77</v>
      </c>
      <c r="D80" s="2" t="s">
        <v>78</v>
      </c>
      <c r="E80" s="7" t="n">
        <v>45932.1243055556</v>
      </c>
      <c r="F80" s="5" t="n">
        <v>46022</v>
      </c>
      <c r="G80" s="2" t="s">
        <v>50</v>
      </c>
      <c r="H80" s="8" t="s">
        <v>149</v>
      </c>
    </row>
    <row r="81" customFormat="false" ht="15" hidden="false" customHeight="false" outlineLevel="0" collapsed="false">
      <c r="A81" s="2" t="n">
        <v>21985481315</v>
      </c>
      <c r="B81" s="2" t="s">
        <v>73</v>
      </c>
      <c r="C81" s="2" t="s">
        <v>77</v>
      </c>
      <c r="D81" s="2" t="s">
        <v>78</v>
      </c>
      <c r="E81" s="7" t="n">
        <v>45955.1104166667</v>
      </c>
      <c r="F81" s="5" t="n">
        <v>46045</v>
      </c>
      <c r="G81" s="2" t="s">
        <v>75</v>
      </c>
      <c r="H81" s="8" t="s">
        <v>150</v>
      </c>
    </row>
    <row r="82" customFormat="false" ht="15" hidden="false" customHeight="false" outlineLevel="0" collapsed="false">
      <c r="A82" s="2" t="n">
        <v>22156789244</v>
      </c>
      <c r="B82" s="2" t="s">
        <v>73</v>
      </c>
      <c r="C82" s="2" t="s">
        <v>48</v>
      </c>
      <c r="D82" s="2" t="s">
        <v>138</v>
      </c>
      <c r="E82" s="7" t="n">
        <v>45963.3701388889</v>
      </c>
      <c r="F82" s="5" t="n">
        <v>46053</v>
      </c>
      <c r="G82" s="2" t="s">
        <v>75</v>
      </c>
      <c r="H82" s="8" t="s">
        <v>151</v>
      </c>
    </row>
    <row r="83" customFormat="false" ht="15" hidden="false" customHeight="false" outlineLevel="0" collapsed="false">
      <c r="A83" s="2" t="n">
        <v>22770539345</v>
      </c>
      <c r="B83" s="2" t="s">
        <v>47</v>
      </c>
      <c r="C83" s="2" t="s">
        <v>48</v>
      </c>
      <c r="D83" s="2" t="s">
        <v>140</v>
      </c>
      <c r="E83" s="7" t="n">
        <v>45988.8111111111</v>
      </c>
      <c r="F83" s="5" t="n">
        <v>46078</v>
      </c>
      <c r="G83" s="2" t="s">
        <v>50</v>
      </c>
      <c r="H83" s="8" t="s">
        <v>152</v>
      </c>
    </row>
    <row r="84" customFormat="false" ht="15" hidden="false" customHeight="false" outlineLevel="0" collapsed="false">
      <c r="A84" s="2" t="n">
        <v>22770540891</v>
      </c>
      <c r="B84" s="2" t="s">
        <v>37</v>
      </c>
      <c r="C84" s="2" t="s">
        <v>48</v>
      </c>
      <c r="D84" s="2" t="s">
        <v>140</v>
      </c>
      <c r="E84" s="7" t="n">
        <v>45988.8111111111</v>
      </c>
      <c r="F84" s="5" t="n">
        <v>46078</v>
      </c>
      <c r="G84" s="2" t="s">
        <v>50</v>
      </c>
      <c r="H84" s="8" t="s">
        <v>153</v>
      </c>
    </row>
    <row r="85" customFormat="false" ht="15" hidden="false" customHeight="false" outlineLevel="0" collapsed="false">
      <c r="A85" s="2" t="n">
        <v>22776031828</v>
      </c>
      <c r="B85" s="2" t="s">
        <v>30</v>
      </c>
      <c r="C85" s="2" t="s">
        <v>48</v>
      </c>
      <c r="D85" s="2" t="s">
        <v>154</v>
      </c>
      <c r="E85" s="7" t="n">
        <v>45989.1048611111</v>
      </c>
      <c r="F85" s="5" t="n">
        <v>46079</v>
      </c>
      <c r="G85" s="2" t="s">
        <v>101</v>
      </c>
      <c r="H85" s="8" t="s">
        <v>155</v>
      </c>
    </row>
    <row r="86" customFormat="false" ht="15" hidden="false" customHeight="false" outlineLevel="0" collapsed="false">
      <c r="A86" s="2" t="n">
        <v>22833134060</v>
      </c>
      <c r="B86" s="2" t="s">
        <v>30</v>
      </c>
      <c r="C86" s="2" t="s">
        <v>48</v>
      </c>
      <c r="D86" s="2" t="s">
        <v>142</v>
      </c>
      <c r="E86" s="7" t="n">
        <v>45989.1048611111</v>
      </c>
      <c r="F86" s="5" t="n">
        <v>46079</v>
      </c>
      <c r="G86" s="2" t="s">
        <v>101</v>
      </c>
      <c r="H86" s="8" t="s">
        <v>156</v>
      </c>
    </row>
    <row r="87" customFormat="false" ht="15" hidden="false" customHeight="false" outlineLevel="0" collapsed="false">
      <c r="A87" s="2" t="n">
        <v>22854387512</v>
      </c>
      <c r="B87" s="2" t="s">
        <v>37</v>
      </c>
      <c r="C87" s="2" t="s">
        <v>77</v>
      </c>
      <c r="D87" s="2" t="s">
        <v>83</v>
      </c>
      <c r="E87" s="7" t="n">
        <v>45990.7180555556</v>
      </c>
      <c r="F87" s="5" t="n">
        <v>46080</v>
      </c>
      <c r="G87" s="2" t="s">
        <v>50</v>
      </c>
      <c r="H87" s="8" t="s">
        <v>157</v>
      </c>
    </row>
    <row r="88" customFormat="false" ht="15" hidden="false" customHeight="false" outlineLevel="0" collapsed="false">
      <c r="A88" s="2" t="n">
        <v>22808030550</v>
      </c>
      <c r="B88" s="2" t="s">
        <v>37</v>
      </c>
      <c r="C88" s="2" t="s">
        <v>77</v>
      </c>
      <c r="D88" s="2" t="s">
        <v>78</v>
      </c>
      <c r="E88" s="7" t="n">
        <v>45990.7180555556</v>
      </c>
      <c r="F88" s="5" t="n">
        <v>46080</v>
      </c>
      <c r="G88" s="2" t="s">
        <v>50</v>
      </c>
      <c r="H88" s="8" t="s">
        <v>158</v>
      </c>
    </row>
    <row r="89" customFormat="false" ht="15" hidden="false" customHeight="false" outlineLevel="0" collapsed="false">
      <c r="A89" s="2" t="n">
        <v>22818395019</v>
      </c>
      <c r="B89" s="2" t="s">
        <v>47</v>
      </c>
      <c r="C89" s="2" t="s">
        <v>77</v>
      </c>
      <c r="D89" s="2" t="s">
        <v>83</v>
      </c>
      <c r="E89" s="7" t="n">
        <v>45991.2659722222</v>
      </c>
      <c r="F89" s="5" t="n">
        <v>46081</v>
      </c>
      <c r="G89" s="2" t="s">
        <v>50</v>
      </c>
      <c r="H89" s="8" t="s">
        <v>159</v>
      </c>
    </row>
    <row r="90" customFormat="false" ht="15" hidden="false" customHeight="false" outlineLevel="0" collapsed="false">
      <c r="A90" s="2" t="n">
        <v>22821451064</v>
      </c>
      <c r="B90" s="2" t="s">
        <v>47</v>
      </c>
      <c r="C90" s="2" t="s">
        <v>77</v>
      </c>
      <c r="D90" s="2" t="s">
        <v>78</v>
      </c>
      <c r="E90" s="7" t="n">
        <v>45991.2659722222</v>
      </c>
      <c r="F90" s="5" t="n">
        <v>46081</v>
      </c>
      <c r="G90" s="2" t="s">
        <v>50</v>
      </c>
      <c r="H90" s="8" t="s">
        <v>160</v>
      </c>
    </row>
    <row r="91" customFormat="false" ht="23.85" hidden="false" customHeight="false" outlineLevel="0" collapsed="false">
      <c r="A91" s="2" t="n">
        <v>24590093501</v>
      </c>
      <c r="B91" s="2" t="s">
        <v>21</v>
      </c>
      <c r="C91" s="2" t="s">
        <v>60</v>
      </c>
      <c r="D91" s="2" t="s">
        <v>61</v>
      </c>
      <c r="E91" s="7" t="n">
        <v>46003</v>
      </c>
      <c r="F91" s="5" t="n">
        <v>46126</v>
      </c>
      <c r="G91" s="2" t="s">
        <v>62</v>
      </c>
      <c r="H91" s="8" t="s">
        <v>161</v>
      </c>
    </row>
    <row r="92" customFormat="false" ht="15" hidden="false" customHeight="false" outlineLevel="0" collapsed="false">
      <c r="A92" s="2" t="n">
        <v>23308723786</v>
      </c>
      <c r="B92" s="2" t="s">
        <v>73</v>
      </c>
      <c r="C92" s="2" t="s">
        <v>77</v>
      </c>
      <c r="D92" s="2" t="s">
        <v>78</v>
      </c>
      <c r="E92" s="7" t="n">
        <v>46014.16875</v>
      </c>
      <c r="F92" s="5" t="n">
        <v>46104</v>
      </c>
      <c r="G92" s="2" t="s">
        <v>75</v>
      </c>
      <c r="H92" s="8" t="s">
        <v>162</v>
      </c>
    </row>
    <row r="93" customFormat="false" ht="15" hidden="false" customHeight="false" outlineLevel="0" collapsed="false">
      <c r="A93" s="2" t="n">
        <v>23477939120</v>
      </c>
      <c r="B93" s="2" t="s">
        <v>73</v>
      </c>
      <c r="C93" s="2" t="s">
        <v>48</v>
      </c>
      <c r="D93" s="2" t="s">
        <v>154</v>
      </c>
      <c r="E93" s="7" t="n">
        <v>46022.5708333333</v>
      </c>
      <c r="F93" s="5" t="n">
        <v>46112</v>
      </c>
      <c r="G93" s="2" t="s">
        <v>75</v>
      </c>
      <c r="H93" s="8" t="s">
        <v>163</v>
      </c>
    </row>
    <row r="94" customFormat="false" ht="23.85" hidden="false" customHeight="false" outlineLevel="0" collapsed="false">
      <c r="A94" s="2" t="n">
        <v>23758629509</v>
      </c>
      <c r="B94" s="2" t="s">
        <v>29</v>
      </c>
      <c r="C94" s="2" t="s">
        <v>60</v>
      </c>
      <c r="D94" s="2" t="s">
        <v>61</v>
      </c>
      <c r="E94" s="7" t="n">
        <v>46034</v>
      </c>
      <c r="F94" s="5" t="n">
        <v>46126</v>
      </c>
      <c r="G94" s="2" t="s">
        <v>62</v>
      </c>
      <c r="H94" s="8" t="s">
        <v>164</v>
      </c>
    </row>
    <row r="95" customFormat="false" ht="23.85" hidden="false" customHeight="false" outlineLevel="0" collapsed="false">
      <c r="A95" s="2" t="n">
        <v>23759430954</v>
      </c>
      <c r="B95" s="2" t="s">
        <v>24</v>
      </c>
      <c r="C95" s="2" t="s">
        <v>60</v>
      </c>
      <c r="D95" s="2" t="s">
        <v>61</v>
      </c>
      <c r="E95" s="7" t="n">
        <v>46034</v>
      </c>
      <c r="F95" s="5" t="n">
        <v>46126</v>
      </c>
      <c r="G95" s="2" t="s">
        <v>62</v>
      </c>
      <c r="H95" s="8" t="s">
        <v>165</v>
      </c>
    </row>
    <row r="96" customFormat="false" ht="23.85" hidden="false" customHeight="false" outlineLevel="0" collapsed="false">
      <c r="A96" s="2" t="n">
        <v>23758677784</v>
      </c>
      <c r="B96" s="2" t="s">
        <v>28</v>
      </c>
      <c r="C96" s="2" t="s">
        <v>60</v>
      </c>
      <c r="D96" s="2" t="s">
        <v>61</v>
      </c>
      <c r="E96" s="7" t="n">
        <v>46034</v>
      </c>
      <c r="F96" s="5" t="n">
        <v>46126</v>
      </c>
      <c r="G96" s="2" t="s">
        <v>62</v>
      </c>
      <c r="H96" s="8" t="s">
        <v>166</v>
      </c>
    </row>
    <row r="97" customFormat="false" ht="23.85" hidden="false" customHeight="false" outlineLevel="0" collapsed="false">
      <c r="A97" s="2" t="n">
        <v>23716197223</v>
      </c>
      <c r="B97" s="2" t="s">
        <v>26</v>
      </c>
      <c r="C97" s="2" t="s">
        <v>60</v>
      </c>
      <c r="D97" s="2" t="s">
        <v>61</v>
      </c>
      <c r="E97" s="7" t="n">
        <v>46034</v>
      </c>
      <c r="F97" s="5" t="n">
        <v>46126</v>
      </c>
      <c r="G97" s="2" t="s">
        <v>62</v>
      </c>
      <c r="H97" s="8" t="s">
        <v>167</v>
      </c>
    </row>
    <row r="98" customFormat="false" ht="15" hidden="false" customHeight="false" outlineLevel="0" collapsed="false">
      <c r="A98" s="2" t="n">
        <v>23990538948</v>
      </c>
      <c r="B98" s="2" t="s">
        <v>30</v>
      </c>
      <c r="C98" s="2" t="s">
        <v>48</v>
      </c>
      <c r="D98" s="2" t="s">
        <v>138</v>
      </c>
      <c r="E98" s="7" t="n">
        <v>46048.5263888889</v>
      </c>
      <c r="F98" s="5" t="n">
        <v>46138</v>
      </c>
      <c r="G98" s="2" t="s">
        <v>101</v>
      </c>
      <c r="H98" s="8" t="s">
        <v>168</v>
      </c>
    </row>
    <row r="99" customFormat="false" ht="15" hidden="false" customHeight="false" outlineLevel="0" collapsed="false">
      <c r="A99" s="2" t="n">
        <v>23990542524</v>
      </c>
      <c r="B99" s="2" t="s">
        <v>30</v>
      </c>
      <c r="C99" s="2" t="s">
        <v>48</v>
      </c>
      <c r="D99" s="2" t="s">
        <v>140</v>
      </c>
      <c r="E99" s="7" t="n">
        <v>46048.5263888889</v>
      </c>
      <c r="F99" s="5" t="n">
        <v>46138</v>
      </c>
      <c r="G99" s="2" t="s">
        <v>101</v>
      </c>
      <c r="H99" s="8" t="s">
        <v>169</v>
      </c>
    </row>
    <row r="100" customFormat="false" ht="15" hidden="false" customHeight="false" outlineLevel="0" collapsed="false">
      <c r="A100" s="2" t="n">
        <v>24017301990</v>
      </c>
      <c r="B100" s="2" t="s">
        <v>37</v>
      </c>
      <c r="C100" s="2" t="s">
        <v>77</v>
      </c>
      <c r="D100" s="2" t="s">
        <v>83</v>
      </c>
      <c r="E100" s="7" t="n">
        <v>46049.7277777778</v>
      </c>
      <c r="F100" s="5" t="n">
        <v>46139</v>
      </c>
      <c r="G100" s="2" t="s">
        <v>50</v>
      </c>
      <c r="H100" s="8" t="s">
        <v>170</v>
      </c>
    </row>
    <row r="101" customFormat="false" ht="15" hidden="false" customHeight="false" outlineLevel="0" collapsed="false">
      <c r="A101" s="2" t="n">
        <v>24017303354</v>
      </c>
      <c r="B101" s="2" t="s">
        <v>37</v>
      </c>
      <c r="C101" s="2" t="s">
        <v>77</v>
      </c>
      <c r="D101" s="2" t="s">
        <v>78</v>
      </c>
      <c r="E101" s="7" t="n">
        <v>46049.7277777778</v>
      </c>
      <c r="F101" s="5" t="n">
        <v>46139</v>
      </c>
      <c r="G101" s="2" t="s">
        <v>50</v>
      </c>
      <c r="H101" s="8" t="s">
        <v>171</v>
      </c>
    </row>
    <row r="102" customFormat="false" ht="15" hidden="false" customHeight="false" outlineLevel="0" collapsed="false">
      <c r="A102" s="2" t="n">
        <v>24033029269</v>
      </c>
      <c r="B102" s="2" t="s">
        <v>47</v>
      </c>
      <c r="C102" s="2" t="s">
        <v>77</v>
      </c>
      <c r="D102" s="2" t="s">
        <v>83</v>
      </c>
      <c r="E102" s="7" t="n">
        <v>46050.4097222222</v>
      </c>
      <c r="F102" s="5" t="n">
        <v>46140</v>
      </c>
      <c r="G102" s="2" t="s">
        <v>50</v>
      </c>
      <c r="H102" s="8" t="s">
        <v>172</v>
      </c>
    </row>
    <row r="103" customFormat="false" ht="15" hidden="false" customHeight="false" outlineLevel="0" collapsed="false">
      <c r="A103" s="2" t="n">
        <v>24055763991</v>
      </c>
      <c r="B103" s="2" t="s">
        <v>47</v>
      </c>
      <c r="C103" s="2" t="s">
        <v>77</v>
      </c>
      <c r="D103" s="2" t="s">
        <v>78</v>
      </c>
      <c r="E103" s="7" t="n">
        <v>46050.4097222222</v>
      </c>
      <c r="F103" s="5" t="n">
        <v>46140</v>
      </c>
      <c r="G103" s="2" t="s">
        <v>50</v>
      </c>
      <c r="H103" s="8" t="s">
        <v>173</v>
      </c>
    </row>
    <row r="104" customFormat="false" ht="23.85" hidden="false" customHeight="false" outlineLevel="0" collapsed="false">
      <c r="A104" s="2" t="n">
        <v>24095209052</v>
      </c>
      <c r="B104" s="2" t="s">
        <v>53</v>
      </c>
      <c r="C104" s="2" t="s">
        <v>54</v>
      </c>
      <c r="D104" s="2" t="s">
        <v>55</v>
      </c>
      <c r="E104" s="7" t="n">
        <v>46053.3520833333</v>
      </c>
      <c r="F104" s="5" t="n">
        <v>46447</v>
      </c>
      <c r="G104" s="2" t="s">
        <v>56</v>
      </c>
      <c r="H104" s="8" t="s">
        <v>174</v>
      </c>
    </row>
    <row r="105" customFormat="false" ht="15" hidden="false" customHeight="false" outlineLevel="0" collapsed="false">
      <c r="A105" s="2" t="n">
        <v>24390826391</v>
      </c>
      <c r="B105" s="2" t="s">
        <v>37</v>
      </c>
      <c r="C105" s="2" t="s">
        <v>48</v>
      </c>
      <c r="D105" s="2" t="s">
        <v>142</v>
      </c>
      <c r="E105" s="7" t="n">
        <v>46066.8430555556</v>
      </c>
      <c r="F105" s="5" t="n">
        <v>46156</v>
      </c>
      <c r="G105" s="2" t="s">
        <v>50</v>
      </c>
      <c r="H105" s="8" t="s">
        <v>175</v>
      </c>
    </row>
    <row r="106" customFormat="false" ht="15" hidden="false" customHeight="false" outlineLevel="0" collapsed="false">
      <c r="A106" s="2" t="n">
        <v>24527966989</v>
      </c>
      <c r="B106" s="2" t="s">
        <v>73</v>
      </c>
      <c r="C106" s="2" t="s">
        <v>77</v>
      </c>
      <c r="D106" s="2" t="s">
        <v>78</v>
      </c>
      <c r="E106" s="7" t="n">
        <v>46073.2194444445</v>
      </c>
      <c r="F106" s="5" t="n">
        <v>46163</v>
      </c>
      <c r="G106" s="2" t="s">
        <v>75</v>
      </c>
      <c r="H106" s="8" t="s">
        <v>176</v>
      </c>
    </row>
    <row r="107" customFormat="false" ht="23.85" hidden="false" customHeight="false" outlineLevel="0" collapsed="false">
      <c r="A107" s="2" t="n">
        <v>24605704616</v>
      </c>
      <c r="B107" s="2" t="s">
        <v>29</v>
      </c>
      <c r="C107" s="2" t="s">
        <v>60</v>
      </c>
      <c r="D107" s="2" t="s">
        <v>177</v>
      </c>
      <c r="E107" s="7" t="n">
        <v>46076</v>
      </c>
      <c r="F107" s="5" t="n">
        <v>46257</v>
      </c>
      <c r="G107" s="2" t="s">
        <v>62</v>
      </c>
      <c r="H107" s="8" t="s">
        <v>178</v>
      </c>
    </row>
    <row r="108" customFormat="false" ht="23.85" hidden="false" customHeight="false" outlineLevel="0" collapsed="false">
      <c r="A108" s="2" t="n">
        <v>24605688934</v>
      </c>
      <c r="B108" s="2" t="s">
        <v>24</v>
      </c>
      <c r="C108" s="2" t="s">
        <v>60</v>
      </c>
      <c r="D108" s="2" t="s">
        <v>177</v>
      </c>
      <c r="E108" s="7" t="n">
        <v>46076</v>
      </c>
      <c r="F108" s="5" t="n">
        <v>46257</v>
      </c>
      <c r="G108" s="2" t="s">
        <v>62</v>
      </c>
      <c r="H108" s="8" t="s">
        <v>179</v>
      </c>
    </row>
    <row r="109" customFormat="false" ht="23.85" hidden="false" customHeight="false" outlineLevel="0" collapsed="false">
      <c r="A109" s="2" t="n">
        <v>24605706433</v>
      </c>
      <c r="B109" s="2" t="s">
        <v>28</v>
      </c>
      <c r="C109" s="2" t="s">
        <v>60</v>
      </c>
      <c r="D109" s="2" t="s">
        <v>177</v>
      </c>
      <c r="E109" s="7" t="n">
        <v>46076</v>
      </c>
      <c r="F109" s="5" t="n">
        <v>46257</v>
      </c>
      <c r="G109" s="2" t="s">
        <v>62</v>
      </c>
      <c r="H109" s="8" t="s">
        <v>180</v>
      </c>
    </row>
    <row r="110" customFormat="false" ht="23.85" hidden="false" customHeight="false" outlineLevel="0" collapsed="false">
      <c r="A110" s="2" t="n">
        <v>24591020305</v>
      </c>
      <c r="B110" s="2" t="s">
        <v>21</v>
      </c>
      <c r="C110" s="2" t="s">
        <v>60</v>
      </c>
      <c r="D110" s="2" t="s">
        <v>177</v>
      </c>
      <c r="E110" s="7" t="n">
        <v>46076</v>
      </c>
      <c r="F110" s="5" t="n">
        <v>46257</v>
      </c>
      <c r="G110" s="2" t="s">
        <v>62</v>
      </c>
      <c r="H110" s="8" t="s">
        <v>181</v>
      </c>
    </row>
    <row r="111" customFormat="false" ht="23.85" hidden="false" customHeight="false" outlineLevel="0" collapsed="false">
      <c r="A111" s="2" t="n">
        <v>24604744296</v>
      </c>
      <c r="B111" s="2" t="s">
        <v>26</v>
      </c>
      <c r="C111" s="2" t="s">
        <v>60</v>
      </c>
      <c r="D111" s="2" t="s">
        <v>177</v>
      </c>
      <c r="E111" s="7" t="n">
        <v>46076</v>
      </c>
      <c r="F111" s="5" t="n">
        <v>46257</v>
      </c>
      <c r="G111" s="2" t="s">
        <v>62</v>
      </c>
      <c r="H111" s="8" t="s">
        <v>182</v>
      </c>
    </row>
    <row r="112" customFormat="false" ht="15" hidden="false" customHeight="false" outlineLevel="0" collapsed="false">
      <c r="A112" s="2" t="n">
        <v>24718042384</v>
      </c>
      <c r="B112" s="2" t="s">
        <v>73</v>
      </c>
      <c r="C112" s="2" t="s">
        <v>48</v>
      </c>
      <c r="D112" s="2" t="s">
        <v>138</v>
      </c>
      <c r="E112" s="7" t="n">
        <v>46082.5951388889</v>
      </c>
      <c r="F112" s="5" t="n">
        <v>46172</v>
      </c>
      <c r="G112" s="2" t="s">
        <v>75</v>
      </c>
      <c r="H112" s="8" t="s">
        <v>183</v>
      </c>
    </row>
    <row r="113" customFormat="false" ht="15" hidden="false" customHeight="false" outlineLevel="0" collapsed="false">
      <c r="A113" s="2" t="n">
        <v>25244732687</v>
      </c>
      <c r="B113" s="2" t="s">
        <v>30</v>
      </c>
      <c r="C113" s="2" t="s">
        <v>48</v>
      </c>
      <c r="D113" s="2" t="s">
        <v>154</v>
      </c>
      <c r="E113" s="7" t="n">
        <v>46108.0513888889</v>
      </c>
      <c r="F113" s="5" t="n">
        <v>46198</v>
      </c>
      <c r="G113" s="2" t="s">
        <v>101</v>
      </c>
      <c r="H113" s="8" t="s">
        <v>184</v>
      </c>
    </row>
    <row r="114" customFormat="false" ht="15" hidden="false" customHeight="false" outlineLevel="0" collapsed="false">
      <c r="A114" s="2" t="n">
        <v>25244731131</v>
      </c>
      <c r="B114" s="2" t="s">
        <v>30</v>
      </c>
      <c r="C114" s="2" t="s">
        <v>48</v>
      </c>
      <c r="D114" s="2" t="s">
        <v>140</v>
      </c>
      <c r="E114" s="7" t="n">
        <v>46108.0513888889</v>
      </c>
      <c r="F114" s="5" t="n">
        <v>46198</v>
      </c>
      <c r="G114" s="2" t="s">
        <v>101</v>
      </c>
      <c r="H114" s="8" t="s">
        <v>185</v>
      </c>
    </row>
    <row r="115" customFormat="false" ht="15" hidden="false" customHeight="false" outlineLevel="0" collapsed="false">
      <c r="A115" s="2" t="n">
        <v>25258746074</v>
      </c>
      <c r="B115" s="2" t="s">
        <v>37</v>
      </c>
      <c r="C115" s="2" t="s">
        <v>77</v>
      </c>
      <c r="D115" s="2" t="s">
        <v>83</v>
      </c>
      <c r="E115" s="7" t="n">
        <v>46108.7375</v>
      </c>
      <c r="F115" s="5" t="n">
        <v>46198</v>
      </c>
      <c r="G115" s="2" t="s">
        <v>50</v>
      </c>
      <c r="H115" s="8" t="s">
        <v>186</v>
      </c>
    </row>
    <row r="116" customFormat="false" ht="15" hidden="false" customHeight="false" outlineLevel="0" collapsed="false">
      <c r="A116" s="2" t="n">
        <v>25258752378</v>
      </c>
      <c r="B116" s="2" t="s">
        <v>37</v>
      </c>
      <c r="C116" s="2" t="s">
        <v>77</v>
      </c>
      <c r="D116" s="2" t="s">
        <v>78</v>
      </c>
      <c r="E116" s="7" t="n">
        <v>46108.7375</v>
      </c>
      <c r="F116" s="5" t="n">
        <v>46198</v>
      </c>
      <c r="G116" s="2" t="s">
        <v>50</v>
      </c>
      <c r="H116" s="8" t="s">
        <v>187</v>
      </c>
    </row>
    <row r="117" customFormat="false" ht="15" hidden="false" customHeight="false" outlineLevel="0" collapsed="false">
      <c r="A117" s="2" t="n">
        <v>25288330050</v>
      </c>
      <c r="B117" s="2" t="s">
        <v>47</v>
      </c>
      <c r="C117" s="2" t="s">
        <v>77</v>
      </c>
      <c r="D117" s="2" t="s">
        <v>83</v>
      </c>
      <c r="E117" s="7" t="n">
        <v>46109.5583333333</v>
      </c>
      <c r="F117" s="5" t="n">
        <v>46199</v>
      </c>
      <c r="G117" s="2" t="s">
        <v>50</v>
      </c>
      <c r="H117" s="8" t="s">
        <v>188</v>
      </c>
    </row>
    <row r="118" customFormat="false" ht="15" hidden="false" customHeight="false" outlineLevel="0" collapsed="false">
      <c r="A118" s="2" t="n">
        <v>25274331984</v>
      </c>
      <c r="B118" s="2" t="s">
        <v>47</v>
      </c>
      <c r="C118" s="2" t="s">
        <v>77</v>
      </c>
      <c r="D118" s="2" t="s">
        <v>78</v>
      </c>
      <c r="E118" s="7" t="n">
        <v>46109.5583333333</v>
      </c>
      <c r="F118" s="5" t="n">
        <v>46199</v>
      </c>
      <c r="G118" s="2" t="s">
        <v>50</v>
      </c>
      <c r="H118" s="8" t="s">
        <v>189</v>
      </c>
    </row>
    <row r="119" customFormat="false" ht="15" hidden="false" customHeight="false" outlineLevel="0" collapsed="false">
      <c r="A119" s="2" t="n">
        <v>26157114011</v>
      </c>
      <c r="B119" s="2" t="s">
        <v>73</v>
      </c>
      <c r="C119" s="2" t="s">
        <v>77</v>
      </c>
      <c r="D119" s="2" t="s">
        <v>78</v>
      </c>
      <c r="E119" s="7" t="n">
        <v>46132.2770833333</v>
      </c>
      <c r="F119" s="5" t="n">
        <v>46222</v>
      </c>
      <c r="G119" s="2" t="s">
        <v>75</v>
      </c>
      <c r="H119" s="8" t="s">
        <v>190</v>
      </c>
    </row>
    <row r="120" customFormat="false" ht="15" hidden="false" customHeight="false" outlineLevel="0" collapsed="false">
      <c r="A120" s="2" t="n">
        <v>26199792443</v>
      </c>
      <c r="B120" s="2" t="s">
        <v>73</v>
      </c>
      <c r="C120" s="2" t="s">
        <v>48</v>
      </c>
      <c r="D120" s="2" t="s">
        <v>154</v>
      </c>
      <c r="E120" s="7" t="n">
        <v>46151.2854166667</v>
      </c>
      <c r="F120" s="5" t="n">
        <v>46241</v>
      </c>
      <c r="G120" s="2" t="s">
        <v>75</v>
      </c>
      <c r="H120" s="8" t="s">
        <v>191</v>
      </c>
    </row>
    <row r="121" customFormat="false" ht="15" hidden="false" customHeight="false" outlineLevel="0" collapsed="false">
      <c r="A121" s="2" t="n">
        <v>26636735255</v>
      </c>
      <c r="B121" s="2" t="s">
        <v>37</v>
      </c>
      <c r="C121" s="2" t="s">
        <v>77</v>
      </c>
      <c r="D121" s="2" t="s">
        <v>83</v>
      </c>
      <c r="E121" s="7" t="n">
        <v>46167.7486111111</v>
      </c>
      <c r="F121" s="5" t="n">
        <v>46257</v>
      </c>
      <c r="G121" s="2" t="s">
        <v>50</v>
      </c>
      <c r="H121" s="8" t="s">
        <v>192</v>
      </c>
    </row>
    <row r="122" customFormat="false" ht="15" hidden="false" customHeight="false" outlineLevel="0" collapsed="false">
      <c r="A122" s="2" t="n">
        <v>26636733541</v>
      </c>
      <c r="B122" s="2" t="s">
        <v>37</v>
      </c>
      <c r="C122" s="2" t="s">
        <v>77</v>
      </c>
      <c r="D122" s="2" t="s">
        <v>78</v>
      </c>
      <c r="E122" s="7" t="n">
        <v>46167.7486111111</v>
      </c>
      <c r="F122" s="5" t="n">
        <v>46257</v>
      </c>
      <c r="G122" s="2" t="s">
        <v>50</v>
      </c>
      <c r="H122" s="8" t="s">
        <v>193</v>
      </c>
    </row>
    <row r="123" customFormat="false" ht="15" hidden="false" customHeight="false" outlineLevel="0" collapsed="false">
      <c r="A123" s="2" t="n">
        <v>26640932061</v>
      </c>
      <c r="B123" s="2" t="s">
        <v>30</v>
      </c>
      <c r="C123" s="2" t="s">
        <v>48</v>
      </c>
      <c r="D123" s="2" t="s">
        <v>154</v>
      </c>
      <c r="E123" s="7" t="n">
        <v>46167.9263888889</v>
      </c>
      <c r="F123" s="5" t="n">
        <v>46257</v>
      </c>
      <c r="G123" s="2" t="s">
        <v>101</v>
      </c>
      <c r="H123" s="8" t="s">
        <v>194</v>
      </c>
    </row>
    <row r="124" customFormat="false" ht="15" hidden="false" customHeight="false" outlineLevel="0" collapsed="false">
      <c r="A124" s="2" t="n">
        <v>26640930071</v>
      </c>
      <c r="B124" s="2" t="s">
        <v>30</v>
      </c>
      <c r="C124" s="2" t="s">
        <v>48</v>
      </c>
      <c r="D124" s="2" t="s">
        <v>142</v>
      </c>
      <c r="E124" s="7" t="n">
        <v>46167.9263888889</v>
      </c>
      <c r="F124" s="5" t="n">
        <v>46257</v>
      </c>
      <c r="G124" s="2" t="s">
        <v>101</v>
      </c>
      <c r="H124" s="8" t="s">
        <v>195</v>
      </c>
    </row>
    <row r="125" customFormat="false" ht="15" hidden="false" customHeight="false" outlineLevel="0" collapsed="false">
      <c r="A125" s="2" t="n">
        <v>26661031657</v>
      </c>
      <c r="B125" s="2" t="s">
        <v>47</v>
      </c>
      <c r="C125" s="2" t="s">
        <v>77</v>
      </c>
      <c r="D125" s="2" t="s">
        <v>83</v>
      </c>
      <c r="E125" s="7" t="n">
        <v>46168.7118055556</v>
      </c>
      <c r="F125" s="5" t="n">
        <v>46258</v>
      </c>
      <c r="G125" s="2" t="s">
        <v>50</v>
      </c>
      <c r="H125" s="8" t="s">
        <v>196</v>
      </c>
    </row>
    <row r="126" customFormat="false" ht="15" hidden="false" customHeight="false" outlineLevel="0" collapsed="false">
      <c r="A126" s="2" t="n">
        <v>26661038391</v>
      </c>
      <c r="B126" s="2" t="s">
        <v>47</v>
      </c>
      <c r="C126" s="2" t="s">
        <v>77</v>
      </c>
      <c r="D126" s="2" t="s">
        <v>78</v>
      </c>
      <c r="E126" s="7" t="n">
        <v>46168.7118055556</v>
      </c>
      <c r="F126" s="5" t="n">
        <v>46258</v>
      </c>
      <c r="G126" s="2" t="s">
        <v>50</v>
      </c>
      <c r="H126" s="8" t="s">
        <v>197</v>
      </c>
    </row>
    <row r="127" customFormat="false" ht="15" hidden="false" customHeight="false" outlineLevel="0" collapsed="false">
      <c r="A127" s="2" t="n">
        <v>26664546014</v>
      </c>
      <c r="B127" s="2" t="s">
        <v>47</v>
      </c>
      <c r="C127" s="2" t="s">
        <v>77</v>
      </c>
      <c r="D127" s="2" t="s">
        <v>83</v>
      </c>
      <c r="E127" s="7" t="n">
        <v>46168.8590277778</v>
      </c>
      <c r="F127" s="5" t="n">
        <v>46258</v>
      </c>
      <c r="G127" s="2" t="s">
        <v>50</v>
      </c>
      <c r="H127" s="8" t="s">
        <v>198</v>
      </c>
    </row>
    <row r="128" customFormat="false" ht="15" hidden="false" customHeight="false" outlineLevel="0" collapsed="false">
      <c r="A128" s="2" t="n">
        <v>26664567161</v>
      </c>
      <c r="B128" s="2" t="s">
        <v>47</v>
      </c>
      <c r="C128" s="2" t="s">
        <v>77</v>
      </c>
      <c r="D128" s="2" t="s">
        <v>78</v>
      </c>
      <c r="E128" s="7" t="n">
        <v>46168.8590277778</v>
      </c>
      <c r="F128" s="5" t="n">
        <v>46258</v>
      </c>
      <c r="G128" s="2" t="s">
        <v>50</v>
      </c>
      <c r="H128" s="8" t="s">
        <v>199</v>
      </c>
    </row>
    <row r="129" customFormat="false" ht="15" hidden="false" customHeight="false" outlineLevel="0" collapsed="false">
      <c r="A129" s="2" t="n">
        <v>27293870438</v>
      </c>
      <c r="B129" s="2" t="s">
        <v>73</v>
      </c>
      <c r="C129" s="2" t="s">
        <v>77</v>
      </c>
      <c r="D129" s="2" t="s">
        <v>78</v>
      </c>
      <c r="E129" s="7" t="n">
        <v>46191.3881944444</v>
      </c>
      <c r="F129" s="5" t="n">
        <v>46281</v>
      </c>
      <c r="G129" s="2" t="s">
        <v>75</v>
      </c>
      <c r="H129" s="8" t="s">
        <v>200</v>
      </c>
    </row>
    <row r="130" customFormat="false" ht="15" hidden="false" customHeight="false" outlineLevel="0" collapsed="false">
      <c r="A130" s="2" t="n">
        <v>28193141025</v>
      </c>
      <c r="B130" s="2" t="s">
        <v>37</v>
      </c>
      <c r="C130" s="2" t="s">
        <v>77</v>
      </c>
      <c r="D130" s="2" t="s">
        <v>83</v>
      </c>
      <c r="E130" s="7" t="n">
        <v>46226.8659722222</v>
      </c>
      <c r="F130" s="5" t="n">
        <v>46316</v>
      </c>
      <c r="G130" s="2" t="s">
        <v>50</v>
      </c>
      <c r="H130" s="8" t="s">
        <v>201</v>
      </c>
    </row>
    <row r="131" customFormat="false" ht="15" hidden="false" customHeight="false" outlineLevel="0" collapsed="false">
      <c r="A131" s="2" t="n">
        <v>28197756289</v>
      </c>
      <c r="B131" s="2" t="s">
        <v>37</v>
      </c>
      <c r="C131" s="2" t="s">
        <v>77</v>
      </c>
      <c r="D131" s="2" t="s">
        <v>78</v>
      </c>
      <c r="E131" s="7" t="n">
        <v>46226.8659722222</v>
      </c>
      <c r="F131" s="5" t="n">
        <v>46316</v>
      </c>
      <c r="G131" s="2" t="s">
        <v>50</v>
      </c>
      <c r="H131" s="8" t="s">
        <v>202</v>
      </c>
    </row>
    <row r="132" customFormat="false" ht="15" hidden="false" customHeight="false" outlineLevel="0" collapsed="false">
      <c r="A132" s="2" t="n">
        <v>28197856865</v>
      </c>
      <c r="B132" s="2" t="s">
        <v>37</v>
      </c>
      <c r="C132" s="2" t="s">
        <v>77</v>
      </c>
      <c r="D132" s="2" t="s">
        <v>83</v>
      </c>
      <c r="E132" s="7" t="n">
        <v>46226.8729166667</v>
      </c>
      <c r="F132" s="5" t="n">
        <v>46316</v>
      </c>
      <c r="G132" s="2" t="s">
        <v>50</v>
      </c>
      <c r="H132" s="8" t="s">
        <v>203</v>
      </c>
    </row>
    <row r="133" customFormat="false" ht="15" hidden="false" customHeight="false" outlineLevel="0" collapsed="false">
      <c r="A133" s="2" t="n">
        <v>28193343203</v>
      </c>
      <c r="B133" s="2" t="s">
        <v>37</v>
      </c>
      <c r="C133" s="2" t="s">
        <v>77</v>
      </c>
      <c r="D133" s="2" t="s">
        <v>78</v>
      </c>
      <c r="E133" s="7" t="n">
        <v>46226.8729166667</v>
      </c>
      <c r="F133" s="5" t="n">
        <v>46316</v>
      </c>
      <c r="G133" s="2" t="s">
        <v>50</v>
      </c>
      <c r="H133" s="8" t="s">
        <v>204</v>
      </c>
    </row>
    <row r="134" customFormat="false" ht="15" hidden="false" customHeight="false" outlineLevel="0" collapsed="false">
      <c r="A134" s="2" t="n">
        <v>28214086378</v>
      </c>
      <c r="B134" s="2" t="s">
        <v>30</v>
      </c>
      <c r="C134" s="2" t="s">
        <v>48</v>
      </c>
      <c r="D134" s="2" t="s">
        <v>205</v>
      </c>
      <c r="E134" s="7" t="n">
        <v>46227.5784722222</v>
      </c>
      <c r="F134" s="5" t="n">
        <v>46317</v>
      </c>
      <c r="G134" s="2" t="s">
        <v>101</v>
      </c>
      <c r="H134" s="8" t="s">
        <v>206</v>
      </c>
    </row>
    <row r="135" customFormat="false" ht="15" hidden="false" customHeight="false" outlineLevel="0" collapsed="false">
      <c r="A135" s="2" t="n">
        <v>28214083296</v>
      </c>
      <c r="B135" s="2" t="s">
        <v>30</v>
      </c>
      <c r="C135" s="2" t="s">
        <v>48</v>
      </c>
      <c r="D135" s="2" t="s">
        <v>207</v>
      </c>
      <c r="E135" s="7" t="n">
        <v>46227.5784722222</v>
      </c>
      <c r="F135" s="5" t="n">
        <v>46317</v>
      </c>
      <c r="G135" s="2" t="s">
        <v>101</v>
      </c>
      <c r="H135" s="8" t="s">
        <v>208</v>
      </c>
    </row>
    <row r="136" customFormat="false" ht="15" hidden="false" customHeight="false" outlineLevel="0" collapsed="false">
      <c r="A136" s="2" t="n">
        <v>28226429452</v>
      </c>
      <c r="B136" s="2" t="s">
        <v>47</v>
      </c>
      <c r="C136" s="2" t="s">
        <v>77</v>
      </c>
      <c r="D136" s="2" t="s">
        <v>83</v>
      </c>
      <c r="E136" s="7" t="n">
        <v>46228.0298611111</v>
      </c>
      <c r="F136" s="5" t="n">
        <v>46318</v>
      </c>
      <c r="G136" s="2" t="s">
        <v>50</v>
      </c>
      <c r="H136" s="8" t="s">
        <v>209</v>
      </c>
    </row>
    <row r="137" customFormat="false" ht="15" hidden="false" customHeight="false" outlineLevel="0" collapsed="false">
      <c r="A137" s="2" t="n">
        <v>28226463742</v>
      </c>
      <c r="B137" s="2" t="s">
        <v>47</v>
      </c>
      <c r="C137" s="2" t="s">
        <v>77</v>
      </c>
      <c r="D137" s="2" t="s">
        <v>78</v>
      </c>
      <c r="E137" s="7" t="n">
        <v>46228.0298611111</v>
      </c>
      <c r="F137" s="5" t="n">
        <v>46318</v>
      </c>
      <c r="G137" s="2" t="s">
        <v>50</v>
      </c>
      <c r="H137" s="8" t="s">
        <v>210</v>
      </c>
    </row>
    <row r="138" customFormat="false" ht="15" hidden="false" customHeight="false" outlineLevel="0" collapsed="false">
      <c r="A138" s="2" t="n">
        <v>28230471242</v>
      </c>
      <c r="B138" s="2" t="s">
        <v>47</v>
      </c>
      <c r="C138" s="2" t="s">
        <v>77</v>
      </c>
      <c r="D138" s="2" t="s">
        <v>83</v>
      </c>
      <c r="E138" s="7" t="n">
        <v>46228.1916666667</v>
      </c>
      <c r="F138" s="5" t="n">
        <v>46318</v>
      </c>
      <c r="G138" s="2" t="s">
        <v>50</v>
      </c>
      <c r="H138" s="8" t="s">
        <v>211</v>
      </c>
    </row>
    <row r="139" customFormat="false" ht="15" hidden="false" customHeight="false" outlineLevel="0" collapsed="false">
      <c r="A139" s="2" t="n">
        <v>28230472053</v>
      </c>
      <c r="B139" s="2" t="s">
        <v>47</v>
      </c>
      <c r="C139" s="2" t="s">
        <v>77</v>
      </c>
      <c r="D139" s="2" t="s">
        <v>78</v>
      </c>
      <c r="E139" s="7" t="n">
        <v>46228.1916666667</v>
      </c>
      <c r="F139" s="5" t="n">
        <v>46318</v>
      </c>
      <c r="G139" s="2" t="s">
        <v>50</v>
      </c>
      <c r="H139" s="8" t="s">
        <v>212</v>
      </c>
    </row>
    <row r="140" customFormat="false" ht="15" hidden="false" customHeight="false" outlineLevel="0" collapsed="false">
      <c r="A140" s="2" t="n">
        <v>28231107664</v>
      </c>
      <c r="B140" s="2" t="s">
        <v>73</v>
      </c>
      <c r="C140" s="2" t="s">
        <v>48</v>
      </c>
      <c r="D140" s="2" t="s">
        <v>213</v>
      </c>
      <c r="E140" s="7" t="n">
        <v>46228.2208333333</v>
      </c>
      <c r="F140" s="5" t="n">
        <v>46318</v>
      </c>
      <c r="G140" s="2" t="s">
        <v>75</v>
      </c>
      <c r="H140" s="8" t="s">
        <v>214</v>
      </c>
    </row>
    <row r="141" customFormat="false" ht="15" hidden="false" customHeight="false" outlineLevel="0" collapsed="false">
      <c r="A141" s="2" t="n">
        <v>28889799209</v>
      </c>
      <c r="B141" s="2" t="s">
        <v>73</v>
      </c>
      <c r="C141" s="2" t="s">
        <v>77</v>
      </c>
      <c r="D141" s="2" t="s">
        <v>78</v>
      </c>
      <c r="E141" s="7" t="n">
        <v>46250.4944444444</v>
      </c>
      <c r="F141" s="5" t="n">
        <v>46340</v>
      </c>
      <c r="G141" s="2" t="s">
        <v>75</v>
      </c>
      <c r="H141" s="8" t="s">
        <v>215</v>
      </c>
    </row>
    <row r="142" customFormat="false" ht="15" hidden="false" customHeight="false" outlineLevel="0" collapsed="false">
      <c r="A142" s="2" t="n">
        <v>29778573039</v>
      </c>
      <c r="B142" s="2" t="s">
        <v>37</v>
      </c>
      <c r="C142" s="2" t="s">
        <v>77</v>
      </c>
      <c r="D142" s="2" t="s">
        <v>78</v>
      </c>
      <c r="E142" s="7" t="n">
        <v>46285.8888888889</v>
      </c>
      <c r="F142" s="5" t="n">
        <v>46375</v>
      </c>
      <c r="G142" s="2" t="s">
        <v>50</v>
      </c>
      <c r="H142" s="8" t="s">
        <v>216</v>
      </c>
    </row>
    <row r="143" customFormat="false" ht="15" hidden="false" customHeight="false" outlineLevel="0" collapsed="false">
      <c r="A143" s="2" t="n">
        <v>29502212415</v>
      </c>
      <c r="B143" s="2" t="s">
        <v>37</v>
      </c>
      <c r="C143" s="2" t="s">
        <v>77</v>
      </c>
      <c r="D143" s="2" t="s">
        <v>78</v>
      </c>
      <c r="E143" s="7" t="n">
        <v>46285.9</v>
      </c>
      <c r="F143" s="5" t="n">
        <v>46375</v>
      </c>
      <c r="G143" s="2" t="s">
        <v>50</v>
      </c>
      <c r="H143" s="8" t="s">
        <v>217</v>
      </c>
    </row>
    <row r="144" customFormat="false" ht="15" hidden="false" customHeight="false" outlineLevel="0" collapsed="false">
      <c r="A144" s="2" t="n">
        <v>29928320505</v>
      </c>
      <c r="B144" s="2" t="s">
        <v>30</v>
      </c>
      <c r="C144" s="2" t="s">
        <v>48</v>
      </c>
      <c r="D144" s="2" t="s">
        <v>213</v>
      </c>
      <c r="E144" s="7" t="n">
        <v>46286.9152777778</v>
      </c>
      <c r="F144" s="5"/>
      <c r="G144" s="2" t="s">
        <v>101</v>
      </c>
      <c r="H144" s="8" t="s">
        <v>218</v>
      </c>
    </row>
    <row r="145" customFormat="false" ht="15" hidden="false" customHeight="false" outlineLevel="0" collapsed="false">
      <c r="A145" s="2" t="n">
        <v>29927916024</v>
      </c>
      <c r="B145" s="2" t="s">
        <v>30</v>
      </c>
      <c r="C145" s="2" t="s">
        <v>48</v>
      </c>
      <c r="D145" s="2" t="s">
        <v>219</v>
      </c>
      <c r="E145" s="7" t="n">
        <v>46286.9152777778</v>
      </c>
      <c r="F145" s="5"/>
      <c r="G145" s="2" t="s">
        <v>101</v>
      </c>
      <c r="H145" s="8" t="s">
        <v>220</v>
      </c>
    </row>
    <row r="146" customFormat="false" ht="15" hidden="false" customHeight="false" outlineLevel="0" collapsed="false">
      <c r="A146" s="2" t="n">
        <v>29841667374</v>
      </c>
      <c r="B146" s="2" t="s">
        <v>47</v>
      </c>
      <c r="C146" s="2" t="s">
        <v>77</v>
      </c>
      <c r="D146" s="2" t="s">
        <v>78</v>
      </c>
      <c r="E146" s="7" t="n">
        <v>46287.3513888889</v>
      </c>
      <c r="F146" s="5" t="n">
        <v>46377</v>
      </c>
      <c r="G146" s="2" t="s">
        <v>50</v>
      </c>
      <c r="H146" s="8" t="s">
        <v>221</v>
      </c>
    </row>
  </sheetData>
  <autoFilter ref="A1:H146"/>
  <hyperlinks>
    <hyperlink ref="H2" r:id="rId1" display="https://crt.sh/?id=12243411481"/>
    <hyperlink ref="H3" r:id="rId2" display="https://crt.sh/?id=12243413146"/>
    <hyperlink ref="H4" r:id="rId3" display="https://crt.sh/?id=12243193306"/>
    <hyperlink ref="H5" r:id="rId4" display="https://crt.sh/?id=13113017590"/>
    <hyperlink ref="H6" r:id="rId5" display="https://crt.sh/?id=13096802237"/>
    <hyperlink ref="H7" r:id="rId6" display="https://crt.sh/?id=13166395621"/>
    <hyperlink ref="H8" r:id="rId7" display="https://crt.sh/?id=13350020263"/>
    <hyperlink ref="H9" r:id="rId8" display="https://crt.sh/?id=13350024295"/>
    <hyperlink ref="H10" r:id="rId9" display="https://crt.sh/?id=13375818881"/>
    <hyperlink ref="H11" r:id="rId10" display="https://crt.sh/?id=13375817692"/>
    <hyperlink ref="H12" r:id="rId11" display="https://crt.sh/?id=14003189313"/>
    <hyperlink ref="H13" r:id="rId12" display="https://crt.sh/?id=14002606642"/>
    <hyperlink ref="H14" r:id="rId13" display="https://crt.sh/?id=14455802108"/>
    <hyperlink ref="H15" r:id="rId14" display="https://crt.sh/?id=14455833706"/>
    <hyperlink ref="H16" r:id="rId15" display="https://crt.sh/?id=14758844764"/>
    <hyperlink ref="H17" r:id="rId16" display="https://crt.sh/?id=14798840683"/>
    <hyperlink ref="H18" r:id="rId17" display="https://crt.sh/?id=14974554751"/>
    <hyperlink ref="H19" r:id="rId18" display="https://crt.sh/?id=15138119153"/>
    <hyperlink ref="H20" r:id="rId19" display="https://crt.sh/?id=15130287798"/>
    <hyperlink ref="H21" r:id="rId20" display="https://crt.sh/?id=15164293758"/>
    <hyperlink ref="H22" r:id="rId21" display="https://crt.sh/?id=15157201068"/>
    <hyperlink ref="H23" r:id="rId22" display="https://crt.sh/?id=15185532545"/>
    <hyperlink ref="H24" r:id="rId23" display="https://crt.sh/?id=15191662180"/>
    <hyperlink ref="H25" r:id="rId24" display="https://crt.sh/?id=15221021556"/>
    <hyperlink ref="H26" r:id="rId25" display="https://crt.sh/?id=15215071144"/>
    <hyperlink ref="H27" r:id="rId26" display="https://crt.sh/?id=15824555309"/>
    <hyperlink ref="H28" r:id="rId27" display="https://crt.sh/?id=16331046994"/>
    <hyperlink ref="H29" r:id="rId28" display="https://crt.sh/?id=16478040918"/>
    <hyperlink ref="H30" r:id="rId29" display="https://crt.sh/?id=16326339776"/>
    <hyperlink ref="H31" r:id="rId30" display="https://crt.sh/?id=16326917737"/>
    <hyperlink ref="H32" r:id="rId31" display="https://crt.sh/?id=16471384307"/>
    <hyperlink ref="H33" r:id="rId32" display="https://crt.sh/?id=17433938397"/>
    <hyperlink ref="H34" r:id="rId33" display="https://crt.sh/?id=17004309325"/>
    <hyperlink ref="H35" r:id="rId34" display="https://crt.sh/?id=16958571563"/>
    <hyperlink ref="H36" r:id="rId35" display="https://crt.sh/?id=17628878197"/>
    <hyperlink ref="H37" r:id="rId36" display="https://crt.sh/?id=17673139983"/>
    <hyperlink ref="H38" r:id="rId37" display="https://crt.sh/?id=17721231174"/>
    <hyperlink ref="H39" r:id="rId38" display="https://crt.sh/?id=17698473839"/>
    <hyperlink ref="H40" r:id="rId39" display="https://crt.sh/?id=17699853394"/>
    <hyperlink ref="H41" r:id="rId40" display="https://crt.sh/?id=17698501717"/>
    <hyperlink ref="H42" r:id="rId41" display="https://crt.sh/?id=17698499552"/>
    <hyperlink ref="H43" r:id="rId42" display="https://crt.sh/?id=17698499651"/>
    <hyperlink ref="H44" r:id="rId43" display="https://crt.sh/?id=18155059954"/>
    <hyperlink ref="H45" r:id="rId44" display="https://crt.sh/?id=18161189654"/>
    <hyperlink ref="H46" r:id="rId45" display="https://crt.sh/?id=18783093353"/>
    <hyperlink ref="H47" r:id="rId46" display="https://crt.sh/?id=18783094695"/>
    <hyperlink ref="H48" r:id="rId47" display="https://crt.sh/?id=18831648119"/>
    <hyperlink ref="H49" r:id="rId48" display="https://crt.sh/?id=18831314716"/>
    <hyperlink ref="H50" r:id="rId49" display="https://crt.sh/?id=18836036308"/>
    <hyperlink ref="H51" r:id="rId50" display="https://crt.sh/?id=18835284608"/>
    <hyperlink ref="H52" r:id="rId51" display="https://crt.sh/?id=19229804433"/>
    <hyperlink ref="H53" r:id="rId52" display="https://crt.sh/?id=19229837803"/>
    <hyperlink ref="H54" r:id="rId53" display="https://crt.sh/?id=19269053023"/>
    <hyperlink ref="H55" r:id="rId54" display="https://crt.sh/?id=19269005008"/>
    <hyperlink ref="H56" r:id="rId55" display="https://crt.sh/?id=19268277357"/>
    <hyperlink ref="H57" r:id="rId56" display="https://crt.sh/?id=19268260352"/>
    <hyperlink ref="H58" r:id="rId57" display="https://crt.sh/?id=19320893951"/>
    <hyperlink ref="H59" r:id="rId58" display="https://crt.sh/?id=19401616784"/>
    <hyperlink ref="H60" r:id="rId59" display="https://crt.sh/?id=23070769760"/>
    <hyperlink ref="H61" r:id="rId60" display="https://crt.sh/?id=20055192964"/>
    <hyperlink ref="H62" r:id="rId61" display="https://crt.sh/?id=20055189741"/>
    <hyperlink ref="H63" r:id="rId62" display="https://crt.sh/?id=20095283088"/>
    <hyperlink ref="H64" r:id="rId63" display="https://crt.sh/?id=20095287521"/>
    <hyperlink ref="H65" r:id="rId64" display="https://crt.sh/?id=20100284453"/>
    <hyperlink ref="H66" r:id="rId65" display="https://crt.sh/?id=20100290179"/>
    <hyperlink ref="H67" r:id="rId66" display="https://crt.sh/?id=23716203692"/>
    <hyperlink ref="H68" r:id="rId67" display="https://crt.sh/?id=23716396402"/>
    <hyperlink ref="H69" r:id="rId68" display="https://crt.sh/?id=20560521794"/>
    <hyperlink ref="H70" r:id="rId69" display="https://crt.sh/?id=20559854567"/>
    <hyperlink ref="H71" r:id="rId70" display="https://crt.sh/?id=20598650484"/>
    <hyperlink ref="H72" r:id="rId71" display="https://crt.sh/?id=20705608066"/>
    <hyperlink ref="H73" r:id="rId72" display="https://crt.sh/?id=20928048156"/>
    <hyperlink ref="H74" r:id="rId73" display="https://crt.sh/?id=20928051746"/>
    <hyperlink ref="H75" r:id="rId74" display="https://crt.sh/?id=21549834459"/>
    <hyperlink ref="H76" r:id="rId75" display="https://crt.sh/?id=21381314125"/>
    <hyperlink ref="H77" r:id="rId76" display="https://crt.sh/?id=21462731568"/>
    <hyperlink ref="H78" r:id="rId77" display="https://crt.sh/?id=21491717149"/>
    <hyperlink ref="H79" r:id="rId78" display="https://crt.sh/?id=21472229321"/>
    <hyperlink ref="H80" r:id="rId79" display="https://crt.sh/?id=21496369860"/>
    <hyperlink ref="H81" r:id="rId80" display="https://crt.sh/?id=21985481315"/>
    <hyperlink ref="H82" r:id="rId81" display="https://crt.sh/?id=22156789244"/>
    <hyperlink ref="H83" r:id="rId82" display="https://crt.sh/?id=22770539345"/>
    <hyperlink ref="H84" r:id="rId83" display="https://crt.sh/?id=22770540891"/>
    <hyperlink ref="H85" r:id="rId84" display="https://crt.sh/?id=22776031828"/>
    <hyperlink ref="H86" r:id="rId85" display="https://crt.sh/?id=22833134060"/>
    <hyperlink ref="H87" r:id="rId86" display="https://crt.sh/?id=22854387512"/>
    <hyperlink ref="H88" r:id="rId87" display="https://crt.sh/?id=22808030550"/>
    <hyperlink ref="H89" r:id="rId88" display="https://crt.sh/?id=22818395019"/>
    <hyperlink ref="H90" r:id="rId89" display="https://crt.sh/?id=22821451064"/>
    <hyperlink ref="H91" r:id="rId90" display="https://crt.sh/?id=24590093501"/>
    <hyperlink ref="H92" r:id="rId91" display="https://crt.sh/?id=23308723786"/>
    <hyperlink ref="H93" r:id="rId92" display="https://crt.sh/?id=23477939120"/>
    <hyperlink ref="H94" r:id="rId93" display="https://crt.sh/?id=23758629509"/>
    <hyperlink ref="H95" r:id="rId94" display="https://crt.sh/?id=23759430954"/>
    <hyperlink ref="H96" r:id="rId95" display="https://crt.sh/?id=23758677784"/>
    <hyperlink ref="H97" r:id="rId96" display="https://crt.sh/?id=23716197223"/>
    <hyperlink ref="H98" r:id="rId97" display="https://crt.sh/?id=23990538948"/>
    <hyperlink ref="H99" r:id="rId98" display="https://crt.sh/?id=23990542524"/>
    <hyperlink ref="H100" r:id="rId99" display="https://crt.sh/?id=24017301990"/>
    <hyperlink ref="H101" r:id="rId100" display="https://crt.sh/?id=24017303354"/>
    <hyperlink ref="H102" r:id="rId101" display="https://crt.sh/?id=24033029269"/>
    <hyperlink ref="H103" r:id="rId102" display="https://crt.sh/?id=24055763991"/>
    <hyperlink ref="H104" r:id="rId103" display="https://crt.sh/?id=24095209052"/>
    <hyperlink ref="H105" r:id="rId104" display="https://crt.sh/?id=24390826391"/>
    <hyperlink ref="H106" r:id="rId105" display="https://crt.sh/?id=24527966989"/>
    <hyperlink ref="H107" r:id="rId106" display="https://crt.sh/?id=24605704616"/>
    <hyperlink ref="H108" r:id="rId107" display="https://crt.sh/?id=24605688934"/>
    <hyperlink ref="H109" r:id="rId108" display="https://crt.sh/?id=24605706433"/>
    <hyperlink ref="H110" r:id="rId109" display="https://crt.sh/?id=24591020305"/>
    <hyperlink ref="H111" r:id="rId110" display="https://crt.sh/?id=24604744296"/>
    <hyperlink ref="H112" r:id="rId111" display="https://crt.sh/?id=24718042384"/>
    <hyperlink ref="H113" r:id="rId112" display="https://crt.sh/?id=25244732687"/>
    <hyperlink ref="H114" r:id="rId113" display="https://crt.sh/?id=25244731131"/>
    <hyperlink ref="H115" r:id="rId114" display="https://crt.sh/?id=25258746074"/>
    <hyperlink ref="H116" r:id="rId115" display="https://crt.sh/?id=25258752378"/>
    <hyperlink ref="H117" r:id="rId116" display="https://crt.sh/?id=25288330050"/>
    <hyperlink ref="H118" r:id="rId117" display="https://crt.sh/?id=25274331984"/>
    <hyperlink ref="H119" r:id="rId118" display="https://crt.sh/?id=26157114011"/>
    <hyperlink ref="H120" r:id="rId119" display="https://crt.sh/?id=26199792443"/>
    <hyperlink ref="H121" r:id="rId120" display="https://crt.sh/?id=26636735255"/>
    <hyperlink ref="H122" r:id="rId121" display="https://crt.sh/?id=26636733541"/>
    <hyperlink ref="H123" r:id="rId122" display="https://crt.sh/?id=26640932061"/>
    <hyperlink ref="H124" r:id="rId123" display="https://crt.sh/?id=26640930071"/>
    <hyperlink ref="H125" r:id="rId124" display="https://crt.sh/?id=26661031657"/>
    <hyperlink ref="H126" r:id="rId125" display="https://crt.sh/?id=26661038391"/>
    <hyperlink ref="H127" r:id="rId126" display="https://crt.sh/?id=26664546014"/>
    <hyperlink ref="H128" r:id="rId127" display="https://crt.sh/?id=26664567161"/>
    <hyperlink ref="H129" r:id="rId128" display="https://crt.sh/?id=27293870438"/>
    <hyperlink ref="H130" r:id="rId129" display="https://crt.sh/?id=28193141025"/>
    <hyperlink ref="H131" r:id="rId130" display="https://crt.sh/?id=28197756289"/>
    <hyperlink ref="H132" r:id="rId131" display="https://crt.sh/?id=28197856865"/>
    <hyperlink ref="H133" r:id="rId132" display="https://crt.sh/?id=28193343203"/>
    <hyperlink ref="H134" r:id="rId133" display="https://crt.sh/?id=28214086378"/>
    <hyperlink ref="H135" r:id="rId134" display="https://crt.sh/?id=28214083296"/>
    <hyperlink ref="H136" r:id="rId135" display="https://crt.sh/?id=28226429452"/>
    <hyperlink ref="H137" r:id="rId136" display="https://crt.sh/?id=28226463742"/>
    <hyperlink ref="H138" r:id="rId137" display="https://crt.sh/?id=28230471242"/>
    <hyperlink ref="H139" r:id="rId138" display="https://crt.sh/?id=28230472053"/>
    <hyperlink ref="H140" r:id="rId139" display="https://crt.sh/?id=28231107664"/>
    <hyperlink ref="H141" r:id="rId140" display="https://crt.sh/?id=28889799209"/>
    <hyperlink ref="H142" r:id="rId141" display="https://crt.sh/?id=29778573039"/>
    <hyperlink ref="H143" r:id="rId142" display="https://crt.sh/?id=29502212415"/>
    <hyperlink ref="H144" r:id="rId143" display="https://crt.sh/?id=29928320505"/>
    <hyperlink ref="H145" r:id="rId144" display="https://crt.sh/?id=29927916024"/>
    <hyperlink ref="H146" r:id="rId145" display="https://crt.sh/?id=2984166737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26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6" t="s">
        <v>222</v>
      </c>
      <c r="B1" s="6" t="s">
        <v>223</v>
      </c>
      <c r="C1" s="6" t="s">
        <v>224</v>
      </c>
      <c r="D1" s="6" t="s">
        <v>225</v>
      </c>
      <c r="E1" s="6" t="s">
        <v>226</v>
      </c>
    </row>
    <row r="2" customFormat="false" ht="23.85" hidden="false" customHeight="false" outlineLevel="0" collapsed="false">
      <c r="A2" s="2" t="s">
        <v>21</v>
      </c>
      <c r="B2" s="2" t="s">
        <v>227</v>
      </c>
      <c r="C2" s="2" t="s">
        <v>228</v>
      </c>
      <c r="D2" s="2" t="s">
        <v>229</v>
      </c>
      <c r="E2" s="2" t="s">
        <v>230</v>
      </c>
    </row>
    <row r="3" customFormat="false" ht="15" hidden="false" customHeight="false" outlineLevel="0" collapsed="false">
      <c r="A3" s="2" t="s">
        <v>24</v>
      </c>
      <c r="B3" s="2" t="s">
        <v>227</v>
      </c>
      <c r="C3" s="2" t="s">
        <v>231</v>
      </c>
      <c r="D3" s="2" t="s">
        <v>229</v>
      </c>
      <c r="E3" s="2" t="s">
        <v>27</v>
      </c>
    </row>
    <row r="4" customFormat="false" ht="15" hidden="false" customHeight="false" outlineLevel="0" collapsed="false">
      <c r="A4" s="2" t="s">
        <v>26</v>
      </c>
      <c r="B4" s="2" t="s">
        <v>227</v>
      </c>
      <c r="C4" s="2" t="s">
        <v>232</v>
      </c>
      <c r="D4" s="2" t="s">
        <v>229</v>
      </c>
      <c r="E4" s="2" t="s">
        <v>27</v>
      </c>
    </row>
    <row r="5" customFormat="false" ht="15" hidden="false" customHeight="false" outlineLevel="0" collapsed="false">
      <c r="A5" s="2" t="s">
        <v>28</v>
      </c>
      <c r="B5" s="2" t="s">
        <v>227</v>
      </c>
      <c r="C5" s="2" t="s">
        <v>233</v>
      </c>
      <c r="D5" s="2" t="s">
        <v>229</v>
      </c>
      <c r="E5" s="2" t="s">
        <v>27</v>
      </c>
    </row>
    <row r="6" customFormat="false" ht="15" hidden="false" customHeight="false" outlineLevel="0" collapsed="false">
      <c r="A6" s="2" t="s">
        <v>29</v>
      </c>
      <c r="B6" s="2" t="s">
        <v>227</v>
      </c>
      <c r="C6" s="2" t="s">
        <v>234</v>
      </c>
      <c r="D6" s="2" t="s">
        <v>229</v>
      </c>
      <c r="E6" s="2" t="s">
        <v>27</v>
      </c>
    </row>
    <row r="7" customFormat="false" ht="23.85" hidden="false" customHeight="false" outlineLevel="0" collapsed="false">
      <c r="A7" s="2" t="s">
        <v>235</v>
      </c>
      <c r="B7" s="2" t="s">
        <v>236</v>
      </c>
      <c r="C7" s="2" t="s">
        <v>237</v>
      </c>
      <c r="D7" s="2"/>
      <c r="E7" s="2" t="s">
        <v>238</v>
      </c>
    </row>
    <row r="8" customFormat="false" ht="15" hidden="false" customHeight="false" outlineLevel="0" collapsed="false">
      <c r="A8" s="2" t="s">
        <v>239</v>
      </c>
      <c r="B8" s="2" t="s">
        <v>236</v>
      </c>
      <c r="C8" s="2" t="s">
        <v>240</v>
      </c>
      <c r="D8" s="2"/>
      <c r="E8" s="2"/>
    </row>
    <row r="9" customFormat="false" ht="23.85" hidden="false" customHeight="false" outlineLevel="0" collapsed="false">
      <c r="A9" s="2" t="s">
        <v>30</v>
      </c>
      <c r="B9" s="2" t="s">
        <v>227</v>
      </c>
      <c r="C9" s="2" t="s">
        <v>241</v>
      </c>
      <c r="D9" s="2" t="s">
        <v>242</v>
      </c>
      <c r="E9" s="2" t="s">
        <v>243</v>
      </c>
    </row>
    <row r="10" customFormat="false" ht="23.85" hidden="false" customHeight="false" outlineLevel="0" collapsed="false">
      <c r="A10" s="2" t="s">
        <v>47</v>
      </c>
      <c r="B10" s="2" t="s">
        <v>244</v>
      </c>
      <c r="C10" s="2"/>
      <c r="D10" s="2" t="s">
        <v>245</v>
      </c>
      <c r="E10" s="2" t="s">
        <v>38</v>
      </c>
    </row>
    <row r="11" customFormat="false" ht="15" hidden="false" customHeight="false" outlineLevel="0" collapsed="false">
      <c r="A11" s="2" t="s">
        <v>37</v>
      </c>
      <c r="B11" s="2" t="s">
        <v>246</v>
      </c>
      <c r="C11" s="2" t="s">
        <v>247</v>
      </c>
      <c r="D11" s="2" t="s">
        <v>248</v>
      </c>
      <c r="E11" s="2" t="s">
        <v>38</v>
      </c>
    </row>
    <row r="12" customFormat="false" ht="15" hidden="false" customHeight="false" outlineLevel="0" collapsed="false">
      <c r="A12" s="2" t="s">
        <v>33</v>
      </c>
      <c r="B12" s="2" t="s">
        <v>249</v>
      </c>
      <c r="C12" s="2"/>
      <c r="D12" s="2" t="s">
        <v>250</v>
      </c>
      <c r="E12" s="2" t="s">
        <v>251</v>
      </c>
    </row>
    <row r="13" customFormat="false" ht="15" hidden="false" customHeight="false" outlineLevel="0" collapsed="false">
      <c r="A13" s="2" t="s">
        <v>47</v>
      </c>
      <c r="B13" s="2" t="s">
        <v>252</v>
      </c>
      <c r="C13" s="2" t="s">
        <v>253</v>
      </c>
      <c r="D13" s="2"/>
      <c r="E13" s="2" t="s">
        <v>254</v>
      </c>
    </row>
    <row r="14" customFormat="false" ht="15" hidden="false" customHeight="false" outlineLevel="0" collapsed="false">
      <c r="A14" s="2" t="s">
        <v>47</v>
      </c>
      <c r="B14" s="2" t="s">
        <v>255</v>
      </c>
      <c r="C14" s="2" t="s">
        <v>256</v>
      </c>
      <c r="D14" s="2"/>
      <c r="E14" s="2" t="s">
        <v>257</v>
      </c>
    </row>
    <row r="15" customFormat="false" ht="23.85" hidden="false" customHeight="false" outlineLevel="0" collapsed="false">
      <c r="A15" s="2" t="s">
        <v>47</v>
      </c>
      <c r="B15" s="2" t="s">
        <v>236</v>
      </c>
      <c r="C15" s="2" t="s">
        <v>258</v>
      </c>
      <c r="D15" s="2"/>
      <c r="E15" s="2" t="s">
        <v>259</v>
      </c>
    </row>
    <row r="16" customFormat="false" ht="15" hidden="false" customHeight="false" outlineLevel="0" collapsed="false">
      <c r="A16" s="2" t="s">
        <v>260</v>
      </c>
      <c r="B16" s="2" t="s">
        <v>236</v>
      </c>
      <c r="C16" s="2" t="s">
        <v>261</v>
      </c>
      <c r="D16" s="2"/>
      <c r="E16" s="2"/>
    </row>
    <row r="17" customFormat="false" ht="15" hidden="false" customHeight="false" outlineLevel="0" collapsed="false">
      <c r="A17" s="2" t="s">
        <v>47</v>
      </c>
      <c r="B17" s="2" t="s">
        <v>262</v>
      </c>
      <c r="C17" s="2" t="s">
        <v>263</v>
      </c>
      <c r="D17" s="2"/>
      <c r="E17" s="2"/>
    </row>
    <row r="18" customFormat="false" ht="15" hidden="false" customHeight="false" outlineLevel="0" collapsed="false">
      <c r="A18" s="2" t="s">
        <v>264</v>
      </c>
      <c r="B18" s="2" t="s">
        <v>249</v>
      </c>
      <c r="C18" s="2" t="s">
        <v>240</v>
      </c>
      <c r="D18" s="2"/>
      <c r="E18" s="2" t="s">
        <v>265</v>
      </c>
    </row>
    <row r="19" customFormat="false" ht="35.05" hidden="false" customHeight="false" outlineLevel="0" collapsed="false">
      <c r="A19" s="2" t="s">
        <v>266</v>
      </c>
      <c r="B19" s="2" t="s">
        <v>249</v>
      </c>
      <c r="C19" s="2" t="s">
        <v>240</v>
      </c>
      <c r="D19" s="2"/>
      <c r="E19" s="2" t="s">
        <v>267</v>
      </c>
    </row>
  </sheetData>
  <autoFilter ref="A1:E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6" t="s">
        <v>268</v>
      </c>
      <c r="B1" s="6" t="s">
        <v>269</v>
      </c>
      <c r="C1" s="6" t="s">
        <v>270</v>
      </c>
      <c r="D1" s="6" t="s">
        <v>271</v>
      </c>
    </row>
    <row r="2" customFormat="false" ht="15" hidden="false" customHeight="false" outlineLevel="0" collapsed="false">
      <c r="A2" s="2" t="s">
        <v>272</v>
      </c>
      <c r="B2" s="2" t="s">
        <v>273</v>
      </c>
      <c r="C2" s="2" t="s">
        <v>274</v>
      </c>
      <c r="D2" s="8" t="s">
        <v>275</v>
      </c>
    </row>
    <row r="3" customFormat="false" ht="23.85" hidden="false" customHeight="false" outlineLevel="0" collapsed="false">
      <c r="A3" s="2" t="s">
        <v>276</v>
      </c>
      <c r="B3" s="2" t="s">
        <v>277</v>
      </c>
      <c r="C3" s="2" t="s">
        <v>278</v>
      </c>
      <c r="D3" s="8" t="s">
        <v>279</v>
      </c>
    </row>
    <row r="4" customFormat="false" ht="23.85" hidden="false" customHeight="false" outlineLevel="0" collapsed="false">
      <c r="A4" s="2" t="s">
        <v>280</v>
      </c>
      <c r="B4" s="2" t="s">
        <v>281</v>
      </c>
      <c r="C4" s="2" t="s">
        <v>282</v>
      </c>
      <c r="D4" s="8" t="s">
        <v>283</v>
      </c>
    </row>
    <row r="5" customFormat="false" ht="15" hidden="false" customHeight="false" outlineLevel="0" collapsed="false">
      <c r="A5" s="2" t="s">
        <v>284</v>
      </c>
      <c r="B5" s="2" t="s">
        <v>285</v>
      </c>
      <c r="C5" s="2" t="s">
        <v>286</v>
      </c>
      <c r="D5" s="8" t="s">
        <v>287</v>
      </c>
    </row>
    <row r="6" customFormat="false" ht="15" hidden="false" customHeight="false" outlineLevel="0" collapsed="false">
      <c r="A6" s="2" t="s">
        <v>288</v>
      </c>
      <c r="B6" s="2" t="s">
        <v>289</v>
      </c>
      <c r="C6" s="2" t="s">
        <v>290</v>
      </c>
      <c r="D6" s="8" t="s">
        <v>291</v>
      </c>
    </row>
    <row r="7" customFormat="false" ht="15" hidden="false" customHeight="false" outlineLevel="0" collapsed="false">
      <c r="A7" s="2" t="s">
        <v>292</v>
      </c>
      <c r="B7" s="2" t="s">
        <v>293</v>
      </c>
      <c r="C7" s="2" t="s">
        <v>294</v>
      </c>
      <c r="D7" s="8" t="s">
        <v>295</v>
      </c>
    </row>
    <row r="8" customFormat="false" ht="15" hidden="false" customHeight="false" outlineLevel="0" collapsed="false">
      <c r="A8" s="2" t="s">
        <v>296</v>
      </c>
      <c r="B8" s="2" t="s">
        <v>297</v>
      </c>
      <c r="C8" s="2" t="s">
        <v>298</v>
      </c>
      <c r="D8" s="8" t="s">
        <v>299</v>
      </c>
    </row>
  </sheetData>
  <autoFilter ref="A1:D8"/>
  <hyperlinks>
    <hyperlink ref="D2" r:id="rId1" display="https://web.archive.org/web/20250307172250/http://skcn.10xvotes.com/"/>
    <hyperlink ref="D3" r:id="rId2" display="https://web.archive.org/web/20250307172251/https://skcn.10xvotes.com/Identity/Account/Login?ReturnUrl=%2F"/>
    <hyperlink ref="D4" r:id="rId3" display="https://web.archive.org/web/20241215042917/https://pa.10xvotes.com/js/search.js"/>
    <hyperlink ref="D5" r:id="rId4" display="https://web.archive.org/web/20240829163142/https://mi.10xvotes.com/"/>
    <hyperlink ref="D6" r:id="rId5" display="https://web.archive.org/web/20250404223513/http://auth.10xvotes.com/"/>
    <hyperlink ref="D7" r:id="rId6" display="https://web.archive.org/web/20260114052020/https://www.10xvotes.com/app-sign-up"/>
    <hyperlink ref="D8" r:id="rId7" display="https://web.archive.org/web/20260114041114/https://www.10xvotes.com/privac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6" t="s">
        <v>300</v>
      </c>
      <c r="B1" s="6" t="s">
        <v>301</v>
      </c>
      <c r="C1" s="6" t="s">
        <v>302</v>
      </c>
      <c r="D1" s="6" t="s">
        <v>20</v>
      </c>
    </row>
    <row r="2" customFormat="false" ht="23.85" hidden="false" customHeight="false" outlineLevel="0" collapsed="false">
      <c r="A2" s="2" t="s">
        <v>303</v>
      </c>
      <c r="B2" s="2" t="s">
        <v>304</v>
      </c>
      <c r="C2" s="2" t="s">
        <v>305</v>
      </c>
      <c r="D2" s="2" t="s">
        <v>306</v>
      </c>
    </row>
    <row r="3" customFormat="false" ht="15" hidden="false" customHeight="false" outlineLevel="0" collapsed="false">
      <c r="A3" s="2" t="s">
        <v>307</v>
      </c>
      <c r="B3" s="2" t="s">
        <v>308</v>
      </c>
      <c r="C3" s="2" t="s">
        <v>309</v>
      </c>
      <c r="D3" s="2" t="s">
        <v>310</v>
      </c>
    </row>
    <row r="4" customFormat="false" ht="15" hidden="false" customHeight="false" outlineLevel="0" collapsed="false">
      <c r="A4" s="2" t="s">
        <v>311</v>
      </c>
      <c r="B4" s="2" t="s">
        <v>312</v>
      </c>
      <c r="C4" s="2" t="s">
        <v>313</v>
      </c>
      <c r="D4" s="2" t="s">
        <v>314</v>
      </c>
    </row>
    <row r="5" customFormat="false" ht="23.85" hidden="false" customHeight="false" outlineLevel="0" collapsed="false">
      <c r="A5" s="2" t="s">
        <v>315</v>
      </c>
      <c r="B5" s="2"/>
      <c r="C5" s="2"/>
      <c r="D5" s="2" t="s">
        <v>316</v>
      </c>
    </row>
    <row r="6" customFormat="false" ht="15" hidden="false" customHeight="false" outlineLevel="0" collapsed="false">
      <c r="A6" s="2" t="s">
        <v>317</v>
      </c>
      <c r="B6" s="2"/>
      <c r="C6" s="2"/>
      <c r="D6" s="2" t="s">
        <v>318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2026-10-22T10:03:59Z</dcterms:created>
  <dc:creator>openpyxl</dc:creator>
  <dc:description/>
  <dc:language>en-US</dc:language>
  <cp:lastModifiedBy/>
  <dcterms:modified xsi:type="dcterms:W3CDTF">2026-10-22T10:03:59Z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